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To Send to WB\TL2\"/>
    </mc:Choice>
  </mc:AlternateContent>
  <xr:revisionPtr revIDLastSave="0" documentId="13_ncr:1_{76A9A57E-D5DC-46AE-9FCB-8F536F831D5D}" xr6:coauthVersionLast="47" xr6:coauthVersionMax="47" xr10:uidLastSave="{00000000-0000-0000-0000-000000000000}"/>
  <bookViews>
    <workbookView xWindow="-1515" yWindow="1125" windowWidth="28770" windowHeight="15090" xr2:uid="{9C58D7E1-0367-4D4F-87BE-59B34145B084}"/>
  </bookViews>
  <sheets>
    <sheet name="Sheet1" sheetId="1" r:id="rId1"/>
    <sheet name="Sheet2" sheetId="2" r:id="rId2"/>
  </sheets>
  <definedNames>
    <definedName name="_xlnm._FilterDatabase" localSheetId="0" hidden="1">Sheet1!$SS$1:$TB$121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2" i="1"/>
  <c r="SJ121" i="1"/>
  <c r="SL121" i="1"/>
  <c r="SJ120" i="1"/>
  <c r="SL120" i="1"/>
  <c r="SJ119" i="1"/>
  <c r="SL119" i="1"/>
  <c r="SJ118" i="1"/>
  <c r="SL118" i="1"/>
  <c r="SJ117" i="1"/>
  <c r="SL117" i="1"/>
  <c r="SJ116" i="1"/>
  <c r="SL116" i="1"/>
  <c r="SJ115" i="1"/>
  <c r="SL115" i="1"/>
  <c r="SJ114" i="1"/>
  <c r="SL114" i="1"/>
  <c r="SJ113" i="1"/>
  <c r="SL113" i="1"/>
  <c r="SJ112" i="1"/>
  <c r="SL112" i="1"/>
  <c r="SJ111" i="1"/>
  <c r="SL111" i="1"/>
  <c r="SK111" i="1" s="1"/>
  <c r="SJ110" i="1"/>
  <c r="SL110" i="1"/>
  <c r="SJ109" i="1"/>
  <c r="SL109" i="1"/>
  <c r="SJ108" i="1"/>
  <c r="SL108" i="1"/>
  <c r="SJ107" i="1"/>
  <c r="SL107" i="1"/>
  <c r="SJ106" i="1"/>
  <c r="SL106" i="1"/>
  <c r="SJ105" i="1"/>
  <c r="SL105" i="1"/>
  <c r="SJ104" i="1"/>
  <c r="SL104" i="1"/>
  <c r="SJ103" i="1"/>
  <c r="SL103" i="1"/>
  <c r="SJ102" i="1"/>
  <c r="SL102" i="1"/>
  <c r="SJ101" i="1"/>
  <c r="SL101" i="1"/>
  <c r="SJ100" i="1"/>
  <c r="SL100" i="1"/>
  <c r="SJ99" i="1"/>
  <c r="SL99" i="1"/>
  <c r="SK99" i="1" s="1"/>
  <c r="SJ98" i="1"/>
  <c r="SL98" i="1"/>
  <c r="SJ97" i="1"/>
  <c r="SL97" i="1"/>
  <c r="SJ96" i="1"/>
  <c r="SL96" i="1"/>
  <c r="SJ95" i="1"/>
  <c r="SL95" i="1"/>
  <c r="SJ94" i="1"/>
  <c r="SL94" i="1"/>
  <c r="SJ93" i="1"/>
  <c r="SL93" i="1"/>
  <c r="SJ92" i="1"/>
  <c r="SL92" i="1"/>
  <c r="SJ91" i="1"/>
  <c r="SL91" i="1"/>
  <c r="SJ90" i="1"/>
  <c r="SL90" i="1"/>
  <c r="SJ89" i="1"/>
  <c r="SL89" i="1"/>
  <c r="SK100" i="1" l="1"/>
  <c r="SK106" i="1"/>
  <c r="SK118" i="1"/>
  <c r="SK92" i="1"/>
  <c r="SK98" i="1"/>
  <c r="SK104" i="1"/>
  <c r="SK110" i="1"/>
  <c r="SK116" i="1"/>
  <c r="SK94" i="1"/>
  <c r="SK112" i="1"/>
  <c r="SK95" i="1"/>
  <c r="SK107" i="1"/>
  <c r="SK119" i="1"/>
  <c r="SK90" i="1"/>
  <c r="SK96" i="1"/>
  <c r="SK102" i="1"/>
  <c r="SK108" i="1"/>
  <c r="SK114" i="1"/>
  <c r="SK97" i="1"/>
  <c r="SK109" i="1"/>
  <c r="SK121" i="1"/>
  <c r="SK101" i="1"/>
  <c r="SK113" i="1"/>
  <c r="SK89" i="1"/>
  <c r="SK93" i="1"/>
  <c r="SK105" i="1"/>
  <c r="SK117" i="1"/>
  <c r="SK120" i="1"/>
  <c r="SK91" i="1"/>
  <c r="SK103" i="1"/>
  <c r="SK115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SJ65" i="1"/>
  <c r="SL65" i="1"/>
  <c r="SJ64" i="1"/>
  <c r="SL64" i="1"/>
  <c r="SJ63" i="1"/>
  <c r="SL63" i="1"/>
  <c r="SJ62" i="1"/>
  <c r="SL62" i="1"/>
  <c r="SJ61" i="1"/>
  <c r="SL61" i="1"/>
  <c r="SJ60" i="1"/>
  <c r="SL60" i="1"/>
  <c r="SJ59" i="1"/>
  <c r="SL59" i="1"/>
  <c r="SJ58" i="1"/>
  <c r="SL58" i="1"/>
  <c r="SJ57" i="1"/>
  <c r="SL57" i="1"/>
  <c r="SJ56" i="1"/>
  <c r="SL56" i="1"/>
  <c r="SJ55" i="1"/>
  <c r="SL55" i="1"/>
  <c r="SJ54" i="1"/>
  <c r="SL54" i="1"/>
  <c r="SJ53" i="1"/>
  <c r="SL53" i="1"/>
  <c r="SJ52" i="1"/>
  <c r="SL52" i="1"/>
  <c r="SJ51" i="1"/>
  <c r="SL51" i="1"/>
  <c r="SJ50" i="1"/>
  <c r="SL50" i="1"/>
  <c r="SJ49" i="1"/>
  <c r="SL49" i="1"/>
  <c r="SJ48" i="1"/>
  <c r="SL48" i="1"/>
  <c r="SJ47" i="1"/>
  <c r="SL47" i="1"/>
  <c r="SJ46" i="1"/>
  <c r="SL46" i="1"/>
  <c r="SJ45" i="1"/>
  <c r="SL45" i="1"/>
  <c r="SJ44" i="1"/>
  <c r="SL44" i="1"/>
  <c r="SJ43" i="1"/>
  <c r="SL43" i="1"/>
  <c r="SJ42" i="1"/>
  <c r="SL42" i="1"/>
  <c r="SJ41" i="1"/>
  <c r="SL41" i="1"/>
  <c r="SJ40" i="1"/>
  <c r="SL40" i="1"/>
  <c r="SJ39" i="1"/>
  <c r="SL39" i="1"/>
  <c r="SJ38" i="1"/>
  <c r="SL38" i="1"/>
  <c r="SJ37" i="1"/>
  <c r="SL37" i="1"/>
  <c r="SJ36" i="1"/>
  <c r="SL36" i="1"/>
  <c r="SJ35" i="1"/>
  <c r="SL35" i="1"/>
  <c r="SJ34" i="1"/>
  <c r="SL34" i="1"/>
  <c r="SJ33" i="1"/>
  <c r="SL33" i="1"/>
  <c r="SJ32" i="1"/>
  <c r="SL32" i="1"/>
  <c r="SJ31" i="1"/>
  <c r="SL31" i="1"/>
  <c r="SJ30" i="1"/>
  <c r="SL30" i="1"/>
  <c r="SJ29" i="1"/>
  <c r="SL29" i="1"/>
  <c r="SJ28" i="1"/>
  <c r="SL28" i="1"/>
  <c r="SJ27" i="1"/>
  <c r="SL27" i="1"/>
  <c r="SJ26" i="1"/>
  <c r="SL26" i="1"/>
  <c r="SJ25" i="1"/>
  <c r="SL25" i="1"/>
  <c r="SJ24" i="1"/>
  <c r="SL24" i="1"/>
  <c r="SJ23" i="1"/>
  <c r="SL23" i="1"/>
  <c r="SJ22" i="1"/>
  <c r="SL22" i="1"/>
  <c r="SJ21" i="1"/>
  <c r="SL21" i="1"/>
  <c r="SJ20" i="1"/>
  <c r="SL20" i="1"/>
  <c r="SJ19" i="1"/>
  <c r="SL19" i="1"/>
  <c r="SJ18" i="1"/>
  <c r="SL18" i="1"/>
  <c r="SJ17" i="1"/>
  <c r="SL17" i="1"/>
  <c r="SJ16" i="1"/>
  <c r="SL16" i="1"/>
  <c r="SJ15" i="1"/>
  <c r="SL15" i="1"/>
  <c r="SJ14" i="1"/>
  <c r="SL14" i="1"/>
  <c r="SJ13" i="1"/>
  <c r="SL13" i="1"/>
  <c r="SJ12" i="1"/>
  <c r="SL12" i="1"/>
  <c r="SJ11" i="1"/>
  <c r="SL11" i="1"/>
  <c r="SJ10" i="1"/>
  <c r="SL10" i="1"/>
  <c r="SJ9" i="1"/>
  <c r="SL9" i="1"/>
  <c r="SJ8" i="1"/>
  <c r="SL8" i="1"/>
  <c r="SJ7" i="1"/>
  <c r="SL7" i="1"/>
  <c r="SJ6" i="1"/>
  <c r="SL6" i="1"/>
  <c r="SJ5" i="1"/>
  <c r="SL5" i="1"/>
  <c r="SJ4" i="1"/>
  <c r="SL4" i="1"/>
  <c r="SJ3" i="1"/>
  <c r="SL3" i="1"/>
  <c r="SJ2" i="1"/>
  <c r="SL2" i="1"/>
  <c r="SK17" i="1" l="1"/>
  <c r="SK51" i="1"/>
  <c r="SK55" i="1"/>
  <c r="SK10" i="1"/>
  <c r="SK4" i="1"/>
  <c r="SK24" i="1"/>
  <c r="SK40" i="1"/>
  <c r="SK52" i="1"/>
  <c r="SK60" i="1"/>
  <c r="SK64" i="1"/>
  <c r="SK26" i="1"/>
  <c r="SK50" i="1"/>
  <c r="SK7" i="1"/>
  <c r="SK15" i="1"/>
  <c r="SK34" i="1"/>
  <c r="SK19" i="1"/>
  <c r="SK23" i="1"/>
  <c r="SK39" i="1"/>
  <c r="SK58" i="1"/>
  <c r="SK12" i="1"/>
  <c r="SK16" i="1"/>
  <c r="SK2" i="1"/>
  <c r="SK13" i="1"/>
  <c r="SK65" i="1"/>
  <c r="SK42" i="1"/>
  <c r="SK53" i="1"/>
  <c r="SK47" i="1"/>
  <c r="SK9" i="1"/>
  <c r="SK44" i="1"/>
  <c r="SK31" i="1"/>
  <c r="SK56" i="1"/>
  <c r="SK6" i="1"/>
  <c r="SK21" i="1"/>
  <c r="SK33" i="1"/>
  <c r="SK3" i="1"/>
  <c r="SK14" i="1"/>
  <c r="SK18" i="1"/>
  <c r="SK11" i="1"/>
  <c r="SK62" i="1"/>
  <c r="SK20" i="1"/>
  <c r="SK27" i="1"/>
  <c r="SK37" i="1"/>
  <c r="SK41" i="1"/>
  <c r="SK48" i="1"/>
  <c r="SK59" i="1"/>
  <c r="SK63" i="1"/>
  <c r="SK5" i="1"/>
  <c r="SK28" i="1"/>
  <c r="SK38" i="1"/>
  <c r="SK45" i="1"/>
  <c r="SK49" i="1"/>
  <c r="SK30" i="1"/>
  <c r="SK25" i="1"/>
  <c r="SK32" i="1"/>
  <c r="SK35" i="1"/>
  <c r="SK46" i="1"/>
  <c r="SK57" i="1"/>
  <c r="SK8" i="1"/>
  <c r="SK22" i="1"/>
  <c r="SK29" i="1"/>
  <c r="SK36" i="1"/>
  <c r="SK43" i="1"/>
  <c r="SK54" i="1"/>
  <c r="SK61" i="1"/>
</calcChain>
</file>

<file path=xl/sharedStrings.xml><?xml version="1.0" encoding="utf-8"?>
<sst xmlns="http://schemas.openxmlformats.org/spreadsheetml/2006/main" count="2738" uniqueCount="564">
  <si>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</si>
  <si>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</si>
  <si>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</si>
  <si>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</si>
  <si>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</si>
  <si>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</si>
  <si>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</si>
  <si>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</si>
  <si>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respname</t>
  </si>
  <si>
    <t>respno</t>
  </si>
  <si>
    <t>reactmd</t>
  </si>
  <si>
    <t>arehngry</t>
  </si>
  <si>
    <t>aretired</t>
  </si>
  <si>
    <t>becarefl</t>
  </si>
  <si>
    <t>bequiet</t>
  </si>
  <si>
    <t>claphand</t>
  </si>
  <si>
    <t>cgdiaper</t>
  </si>
  <si>
    <t>comehere</t>
  </si>
  <si>
    <t>mdhome</t>
  </si>
  <si>
    <t>wantmore</t>
  </si>
  <si>
    <t>dontdo</t>
  </si>
  <si>
    <t>dontouch</t>
  </si>
  <si>
    <t>getup</t>
  </si>
  <si>
    <t>givemom</t>
  </si>
  <si>
    <t>givehug</t>
  </si>
  <si>
    <t>givekiss</t>
  </si>
  <si>
    <t>goget</t>
  </si>
  <si>
    <t>goodgb</t>
  </si>
  <si>
    <t>holdstil</t>
  </si>
  <si>
    <t>gobyebye</t>
  </si>
  <si>
    <t>lookhere</t>
  </si>
  <si>
    <t>openmth</t>
  </si>
  <si>
    <t>sitdown</t>
  </si>
  <si>
    <t>spitout</t>
  </si>
  <si>
    <t>stopit</t>
  </si>
  <si>
    <t>gonight</t>
  </si>
  <si>
    <t>throwbll</t>
  </si>
  <si>
    <t>litpiggy</t>
  </si>
  <si>
    <t>wantride</t>
  </si>
  <si>
    <t>imitate</t>
  </si>
  <si>
    <t>label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</si>
  <si>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</si>
  <si>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</si>
  <si>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</si>
  <si>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</si>
  <si>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</si>
  <si>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</si>
  <si>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</si>
  <si>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</si>
  <si>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</si>
  <si>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</si>
  <si>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</si>
  <si>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</si>
  <si>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animal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</si>
  <si>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</si>
  <si>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</si>
  <si>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</si>
  <si>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</si>
  <si>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</si>
  <si>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</si>
  <si>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</si>
  <si>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</si>
  <si>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</si>
  <si>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</si>
  <si>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</si>
  <si>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</si>
  <si>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</si>
  <si>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</si>
  <si>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</si>
  <si>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</si>
  <si>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</si>
  <si>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</si>
  <si>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</si>
  <si>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</si>
  <si>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</si>
  <si>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</si>
  <si>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</si>
  <si>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</si>
  <si>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</si>
  <si>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</si>
  <si>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</si>
  <si>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</si>
  <si>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</si>
  <si>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</si>
  <si>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</si>
  <si>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teddyber</t>
  </si>
  <si>
    <t>tiger</t>
  </si>
  <si>
    <t>turkey</t>
  </si>
  <si>
    <t>turtle</t>
  </si>
  <si>
    <t>airplane</t>
  </si>
  <si>
    <t>bicycle</t>
  </si>
  <si>
    <t>bus</t>
  </si>
  <si>
    <t>car</t>
  </si>
  <si>
    <t>firetrck</t>
  </si>
  <si>
    <t>motrcycl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</si>
  <si>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</si>
  <si>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</si>
  <si>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</si>
  <si>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</si>
  <si>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</si>
  <si>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</si>
  <si>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</si>
  <si>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</si>
  <si>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</si>
  <si>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</si>
  <si>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</si>
  <si>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</si>
  <si>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</si>
  <si>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</si>
  <si>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</si>
  <si>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</si>
  <si>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</si>
  <si>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</si>
  <si>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</si>
  <si>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</si>
  <si>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</si>
  <si>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</si>
  <si>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coffee</t>
  </si>
  <si>
    <t>cookie</t>
  </si>
  <si>
    <t>cracker</t>
  </si>
  <si>
    <t>drink1</t>
  </si>
  <si>
    <t>egg</t>
  </si>
  <si>
    <t>fish2</t>
  </si>
  <si>
    <t>food</t>
  </si>
  <si>
    <t>icecream</t>
  </si>
  <si>
    <t>juice</t>
  </si>
  <si>
    <t>meat</t>
  </si>
  <si>
    <t>milk</t>
  </si>
  <si>
    <t>noodles</t>
  </si>
  <si>
    <t>orange1</t>
  </si>
  <si>
    <t>peas</t>
  </si>
  <si>
    <t>pizza</t>
  </si>
  <si>
    <t>raisin</t>
  </si>
  <si>
    <t>spaghett</t>
  </si>
  <si>
    <t>toast</t>
  </si>
  <si>
    <t>water1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</si>
  <si>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</si>
  <si>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</si>
  <si>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</si>
  <si>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</si>
  <si>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</si>
  <si>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</si>
  <si>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</si>
  <si>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</si>
  <si>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</si>
  <si>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</si>
  <si>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</si>
  <si>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</si>
  <si>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</si>
  <si>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</si>
  <si>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</si>
  <si>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</si>
  <si>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</si>
  <si>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</si>
  <si>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</si>
  <si>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</si>
  <si>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bllybttn</t>
  </si>
  <si>
    <t>cheek</t>
  </si>
  <si>
    <t>ear</t>
  </si>
  <si>
    <t>eye</t>
  </si>
  <si>
    <t>face</t>
  </si>
  <si>
    <t>foot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</si>
  <si>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</si>
  <si>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</si>
  <si>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</si>
  <si>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</si>
  <si>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</si>
  <si>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</si>
  <si>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</si>
  <si>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</si>
  <si>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</t>
  </si>
  <si>
    <t>tooth</t>
  </si>
  <si>
    <t>toe</t>
  </si>
  <si>
    <t>tongue</t>
  </si>
  <si>
    <t>tummy</t>
  </si>
  <si>
    <t>blanket</t>
  </si>
  <si>
    <t>bottle</t>
  </si>
  <si>
    <t>bowl</t>
  </si>
  <si>
    <t>box</t>
  </si>
  <si>
    <t>broom</t>
  </si>
  <si>
    <t>brush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</si>
  <si>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</si>
  <si>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</si>
  <si>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</si>
  <si>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</si>
  <si>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</si>
  <si>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</si>
  <si>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</si>
  <si>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</si>
  <si>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</si>
  <si>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</si>
  <si>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</si>
  <si>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</si>
  <si>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</si>
  <si>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</si>
  <si>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</si>
  <si>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</si>
  <si>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</si>
  <si>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</si>
  <si>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</si>
  <si>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</si>
  <si>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</si>
  <si>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</si>
  <si>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</si>
  <si>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</si>
  <si>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telephone</t>
  </si>
  <si>
    <t>toothbrush</t>
  </si>
  <si>
    <t>towel</t>
  </si>
  <si>
    <t>trash</t>
  </si>
  <si>
    <t>vacuum</t>
  </si>
  <si>
    <t>watch1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</si>
  <si>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</si>
  <si>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</si>
  <si>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</si>
  <si>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</si>
  <si>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</si>
  <si>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</si>
  <si>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</si>
  <si>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</si>
  <si>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</si>
  <si>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</si>
  <si>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highchar</t>
  </si>
  <si>
    <t>kitchen</t>
  </si>
  <si>
    <t>livingrm</t>
  </si>
  <si>
    <t>oven</t>
  </si>
  <si>
    <t>playpen</t>
  </si>
  <si>
    <t>potty</t>
  </si>
  <si>
    <t>refrigerator</t>
  </si>
  <si>
    <t>rockingchair</t>
  </si>
  <si>
    <t>sink</t>
  </si>
  <si>
    <t>stairs</t>
  </si>
  <si>
    <t>stove</t>
  </si>
  <si>
    <t>table</t>
  </si>
  <si>
    <t>tv</t>
  </si>
  <si>
    <t>window</t>
  </si>
  <si>
    <t>backyard</t>
  </si>
  <si>
    <t>beach</t>
  </si>
  <si>
    <t>church</t>
  </si>
  <si>
    <t>flower</t>
  </si>
  <si>
    <t>garden</t>
  </si>
  <si>
    <t>home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</si>
  <si>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</si>
  <si>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</si>
  <si>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</si>
  <si>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</si>
  <si>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</si>
  <si>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</si>
  <si>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</si>
  <si>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</si>
  <si>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</si>
  <si>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</si>
  <si>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</si>
  <si>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slide1</t>
  </si>
  <si>
    <t>snow</t>
  </si>
  <si>
    <t>star</t>
  </si>
  <si>
    <t>store</t>
  </si>
  <si>
    <t>sun</t>
  </si>
  <si>
    <t>swing1</t>
  </si>
  <si>
    <t>tree</t>
  </si>
  <si>
    <t>water2</t>
  </si>
  <si>
    <t>work1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</si>
  <si>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</si>
  <si>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</si>
  <si>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</si>
  <si>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</si>
  <si>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</si>
  <si>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</si>
  <si>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</si>
  <si>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</si>
  <si>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</si>
  <si>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</si>
  <si>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</si>
  <si>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</si>
  <si>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</si>
  <si>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</si>
  <si>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</si>
  <si>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childname</t>
  </si>
  <si>
    <t>people</t>
  </si>
  <si>
    <t>person</t>
  </si>
  <si>
    <t>sister</t>
  </si>
  <si>
    <t>teacher</t>
  </si>
  <si>
    <t>uncle</t>
  </si>
  <si>
    <t>bath</t>
  </si>
  <si>
    <t>breakfst</t>
  </si>
  <si>
    <t>bye</t>
  </si>
  <si>
    <t>dinner</t>
  </si>
  <si>
    <t>dont</t>
  </si>
  <si>
    <t>hello</t>
  </si>
  <si>
    <t>hi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</si>
  <si>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</si>
  <si>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</si>
  <si>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</si>
  <si>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</si>
  <si>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</si>
  <si>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</si>
  <si>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</si>
  <si>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</si>
  <si>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thankyou</t>
  </si>
  <si>
    <t>wait</t>
  </si>
  <si>
    <t>wanna</t>
  </si>
  <si>
    <t>yes</t>
  </si>
  <si>
    <t>bite</t>
  </si>
  <si>
    <t>blow</t>
  </si>
  <si>
    <t>break</t>
  </si>
  <si>
    <t>bring</t>
  </si>
  <si>
    <t>bump</t>
  </si>
  <si>
    <t>clean1</t>
  </si>
  <si>
    <t>close</t>
  </si>
  <si>
    <t>cry</t>
  </si>
  <si>
    <t>dance</t>
  </si>
  <si>
    <t>draw</t>
  </si>
  <si>
    <t>drink2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</si>
  <si>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</si>
  <si>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</si>
  <si>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</si>
  <si>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</si>
  <si>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</si>
  <si>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</si>
  <si>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</si>
  <si>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</si>
  <si>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</si>
  <si>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</si>
  <si>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</si>
  <si>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</si>
  <si>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</si>
  <si>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</si>
  <si>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</si>
  <si>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</si>
  <si>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</si>
  <si>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</si>
  <si>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</si>
  <si>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</si>
  <si>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</si>
  <si>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</si>
  <si>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</si>
  <si>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</si>
  <si>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</si>
  <si>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</si>
  <si>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</si>
  <si>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</si>
  <si>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</si>
  <si>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</si>
  <si>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</si>
  <si>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</si>
  <si>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</si>
  <si>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</si>
  <si>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swing2</t>
  </si>
  <si>
    <t>take</t>
  </si>
  <si>
    <t>throw</t>
  </si>
  <si>
    <t>tickle</t>
  </si>
  <si>
    <t>touch</t>
  </si>
  <si>
    <t>watch2</t>
  </si>
  <si>
    <t>walk</t>
  </si>
  <si>
    <t>wash</t>
  </si>
  <si>
    <t>wipe</t>
  </si>
  <si>
    <t>write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</si>
  <si>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</si>
  <si>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</si>
  <si>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</si>
  <si>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</si>
  <si>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</si>
  <si>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</si>
  <si>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</si>
  <si>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</si>
  <si>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allgone</t>
  </si>
  <si>
    <t>asleep</t>
  </si>
  <si>
    <t>bad</t>
  </si>
  <si>
    <t>big</t>
  </si>
  <si>
    <t>blue</t>
  </si>
  <si>
    <t>broken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</si>
  <si>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</si>
  <si>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</si>
  <si>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</si>
  <si>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</si>
  <si>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</si>
  <si>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</si>
  <si>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</si>
  <si>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</si>
  <si>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</si>
  <si>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</si>
  <si>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</si>
  <si>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</si>
  <si>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</si>
  <si>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</si>
  <si>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</si>
  <si>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</si>
  <si>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</si>
  <si>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little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</si>
  <si>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</si>
  <si>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</si>
  <si>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</si>
  <si>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</si>
  <si>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</si>
  <si>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</si>
  <si>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</si>
  <si>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</si>
  <si>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</si>
  <si>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</si>
  <si>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</si>
  <si>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</si>
  <si>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</si>
  <si>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her</t>
  </si>
  <si>
    <t>his</t>
  </si>
  <si>
    <t>i</t>
  </si>
  <si>
    <t>it</t>
  </si>
  <si>
    <t>me</t>
  </si>
  <si>
    <t>mine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</si>
  <si>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</si>
  <si>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</si>
  <si>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</si>
  <si>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</si>
  <si>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</si>
  <si>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</si>
  <si>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</si>
  <si>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</si>
  <si>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</si>
  <si>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who</t>
  </si>
  <si>
    <t>why</t>
  </si>
  <si>
    <t>away</t>
  </si>
  <si>
    <t>back</t>
  </si>
  <si>
    <t>down</t>
  </si>
  <si>
    <t>in</t>
  </si>
  <si>
    <t>inside</t>
  </si>
  <si>
    <t>off</t>
  </si>
  <si>
    <t>on</t>
  </si>
  <si>
    <t>out</t>
  </si>
  <si>
    <t>there</t>
  </si>
  <si>
    <t>underprep</t>
  </si>
  <si>
    <t>upprep</t>
  </si>
  <si>
    <t>allquant</t>
  </si>
  <si>
    <t>another</t>
  </si>
  <si>
    <t>more</t>
  </si>
  <si>
    <t>none</t>
  </si>
  <si>
    <t>notquant</t>
  </si>
  <si>
    <t>other</t>
  </si>
  <si>
    <t>same</t>
  </si>
  <si>
    <t>some</t>
  </si>
  <si>
    <t>armshow</t>
  </si>
  <si>
    <t>reachout</t>
  </si>
  <si>
    <t>points</t>
  </si>
  <si>
    <t>waves</t>
  </si>
  <si>
    <t>pickup</t>
  </si>
  <si>
    <t>shakhead</t>
  </si>
  <si>
    <t>nodhead</t>
  </si>
  <si>
    <t>showhush</t>
  </si>
  <si>
    <t>request</t>
  </si>
  <si>
    <t>blowkiss</t>
  </si>
  <si>
    <t>smacklip</t>
  </si>
  <si>
    <t>shrugs</t>
  </si>
  <si>
    <t>playpeek</t>
  </si>
  <si>
    <t>patycak2</t>
  </si>
  <si>
    <t>sobig</t>
  </si>
  <si>
    <t>chase</t>
  </si>
  <si>
    <t>dosing</t>
  </si>
  <si>
    <t>dodance</t>
  </si>
  <si>
    <t>eatspoon</t>
  </si>
  <si>
    <t>drinkcup</t>
  </si>
  <si>
    <t>combhair</t>
  </si>
  <si>
    <t>bshteeth</t>
  </si>
  <si>
    <t>wipeface</t>
  </si>
  <si>
    <t>puthat</t>
  </si>
  <si>
    <t>putshoe</t>
  </si>
  <si>
    <t>putwatch</t>
  </si>
  <si>
    <t>ptdsleep</t>
  </si>
  <si>
    <t>blowhot</t>
  </si>
  <si>
    <t>flyplane</t>
  </si>
  <si>
    <t>ptndtele</t>
  </si>
  <si>
    <t>snifflow</t>
  </si>
  <si>
    <t>pushcar</t>
  </si>
  <si>
    <t>throwges</t>
  </si>
  <si>
    <t>ptndpour</t>
  </si>
  <si>
    <t>ptndstir</t>
  </si>
  <si>
    <t>putobed</t>
  </si>
  <si>
    <t>cover</t>
  </si>
  <si>
    <t>feedbotl</t>
  </si>
  <si>
    <t>feedspon</t>
  </si>
  <si>
    <t>brushit</t>
  </si>
  <si>
    <t>burbit</t>
  </si>
  <si>
    <t>pushit</t>
  </si>
  <si>
    <t>rockit</t>
  </si>
  <si>
    <t>kissit</t>
  </si>
  <si>
    <t>dressit</t>
  </si>
  <si>
    <t>wipeit</t>
  </si>
  <si>
    <t>talkit</t>
  </si>
  <si>
    <t>diaperit</t>
  </si>
  <si>
    <t>sweep</t>
  </si>
  <si>
    <t>putkey</t>
  </si>
  <si>
    <t>pound</t>
  </si>
  <si>
    <t>usesaw</t>
  </si>
  <si>
    <t>type</t>
  </si>
  <si>
    <t>ptndread</t>
  </si>
  <si>
    <t>dovacuum</t>
  </si>
  <si>
    <t>waterplt</t>
  </si>
  <si>
    <t>playmus</t>
  </si>
  <si>
    <t>ptnddriv</t>
  </si>
  <si>
    <t>washdish</t>
  </si>
  <si>
    <t>usecloth</t>
  </si>
  <si>
    <t>usepen</t>
  </si>
  <si>
    <t>dig</t>
  </si>
  <si>
    <t>wearglas</t>
  </si>
  <si>
    <t>playpretend</t>
  </si>
  <si>
    <t>english_wg</t>
  </si>
  <si>
    <t>totlot2</t>
  </si>
  <si>
    <t>totlot2_15-17m_1.pdf</t>
  </si>
  <si>
    <t>M</t>
  </si>
  <si>
    <t>NA</t>
  </si>
  <si>
    <t>o</t>
  </si>
  <si>
    <t>s</t>
  </si>
  <si>
    <t>n</t>
  </si>
  <si>
    <t>F</t>
  </si>
  <si>
    <t>p</t>
  </si>
  <si>
    <t>pn</t>
  </si>
  <si>
    <t>totlot2_15-17m_2.pdf</t>
  </si>
  <si>
    <t>s, o</t>
  </si>
  <si>
    <t>HollIndexSES</t>
  </si>
  <si>
    <t>A</t>
  </si>
  <si>
    <t>P</t>
  </si>
  <si>
    <t>W</t>
  </si>
  <si>
    <t>H</t>
  </si>
  <si>
    <t>B</t>
  </si>
  <si>
    <t>age_cdi</t>
  </si>
  <si>
    <t>Totgest</t>
  </si>
  <si>
    <t>Phrases</t>
  </si>
  <si>
    <t>Subject #</t>
  </si>
  <si>
    <t>Sex</t>
  </si>
  <si>
    <t>Age</t>
  </si>
  <si>
    <t>Prod_items</t>
  </si>
  <si>
    <t>Comp_items</t>
  </si>
  <si>
    <t>Comp_items_tot</t>
  </si>
  <si>
    <t>Ethnicity</t>
  </si>
  <si>
    <t>Compptile</t>
  </si>
  <si>
    <t>Prod</t>
  </si>
  <si>
    <t>Prodptile</t>
  </si>
  <si>
    <t>Totgestptile</t>
  </si>
  <si>
    <t>Phrasesptile</t>
  </si>
  <si>
    <t>totlot2_18m_10091-.pdf</t>
  </si>
  <si>
    <t>Mother</t>
  </si>
  <si>
    <t>Mother, Father</t>
  </si>
  <si>
    <t>Father</t>
  </si>
  <si>
    <t>`1</t>
  </si>
  <si>
    <t>Number of Kids in Family</t>
  </si>
  <si>
    <t>Mom yrs. Education</t>
  </si>
  <si>
    <t>Comprehension16-18m</t>
  </si>
  <si>
    <t>Comprehension 16-18m %tile</t>
  </si>
  <si>
    <t>Production 16-18m</t>
  </si>
  <si>
    <t>Production 16-18m %tile</t>
  </si>
  <si>
    <t>Total Gestures 16-18m</t>
  </si>
  <si>
    <t>Total Gestures 16-18m %tile</t>
  </si>
  <si>
    <t>Phrase Comp. 16-18m</t>
  </si>
  <si>
    <t>Phrase Comp. 16-18m %tile</t>
  </si>
  <si>
    <t>A/W</t>
  </si>
  <si>
    <t>A/W/B</t>
  </si>
  <si>
    <t>W/AI</t>
  </si>
  <si>
    <t>Comp</t>
  </si>
  <si>
    <t>subnum</t>
  </si>
  <si>
    <t>numkids</t>
  </si>
  <si>
    <t>momed</t>
  </si>
  <si>
    <t>hollingshead</t>
  </si>
  <si>
    <t>age</t>
  </si>
  <si>
    <t>border</t>
  </si>
  <si>
    <t>Birth order</t>
  </si>
  <si>
    <t>male</t>
  </si>
  <si>
    <t>female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</si>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</sst>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###0"/>
    <numFmt numFmtId="166" formatCode="#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62"/>
      <name val="Arial"/>
      <family val="2"/>
    </font>
    <font>
      <sz val="12"/>
      <color indexed="6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2" fillId="0" borderId="0" xfId="9"/>
    <xf numFmtId="0" fontId="3" fillId="0" borderId="4" xfId="9" applyFont="1" applyBorder="1" applyAlignment="1">
      <alignment horizontal="center" wrapText="1"/>
    </xf>
    <xf numFmtId="0" fontId="3" fillId="0" borderId="5" xfId="9" applyFont="1" applyBorder="1" applyAlignment="1">
      <alignment horizontal="center" wrapText="1"/>
    </xf>
    <xf numFmtId="165" fontId="4" fillId="2" borderId="7" xfId="9" applyNumberFormat="1" applyFont="1" applyFill="1" applyBorder="1" applyAlignment="1">
      <alignment horizontal="right" vertical="top"/>
    </xf>
    <xf numFmtId="0" fontId="4" fillId="2" borderId="7" xfId="9" applyFont="1" applyFill="1" applyBorder="1" applyAlignment="1">
      <alignment horizontal="left" vertical="top" wrapText="1"/>
    </xf>
    <xf numFmtId="166" fontId="4" fillId="2" borderId="7" xfId="9" applyNumberFormat="1" applyFont="1" applyFill="1" applyBorder="1" applyAlignment="1">
      <alignment horizontal="right" vertical="top"/>
    </xf>
    <xf numFmtId="166" fontId="4" fillId="2" borderId="8" xfId="9" applyNumberFormat="1" applyFont="1" applyFill="1" applyBorder="1" applyAlignment="1">
      <alignment horizontal="right" vertical="top"/>
    </xf>
    <xf numFmtId="165" fontId="4" fillId="2" borderId="9" xfId="9" applyNumberFormat="1" applyFont="1" applyFill="1" applyBorder="1" applyAlignment="1">
      <alignment horizontal="right" vertical="top"/>
    </xf>
    <xf numFmtId="165" fontId="4" fillId="2" borderId="10" xfId="9" applyNumberFormat="1" applyFont="1" applyFill="1" applyBorder="1" applyAlignment="1">
      <alignment horizontal="right" vertical="top"/>
    </xf>
    <xf numFmtId="0" fontId="4" fillId="2" borderId="10" xfId="9" applyFont="1" applyFill="1" applyBorder="1" applyAlignment="1">
      <alignment horizontal="left" vertical="top" wrapText="1"/>
    </xf>
    <xf numFmtId="166" fontId="4" fillId="2" borderId="10" xfId="9" applyNumberFormat="1" applyFont="1" applyFill="1" applyBorder="1" applyAlignment="1">
      <alignment horizontal="right" vertical="top"/>
    </xf>
    <xf numFmtId="166" fontId="4" fillId="2" borderId="11" xfId="9" applyNumberFormat="1" applyFont="1" applyFill="1" applyBorder="1" applyAlignment="1">
      <alignment horizontal="right" vertical="top"/>
    </xf>
    <xf numFmtId="0" fontId="4" fillId="2" borderId="10" xfId="9" applyFont="1" applyFill="1" applyBorder="1" applyAlignment="1">
      <alignment horizontal="right" vertical="top"/>
    </xf>
    <xf numFmtId="1" fontId="5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" fontId="4" fillId="2" borderId="10" xfId="9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1" fontId="3" fillId="0" borderId="5" xfId="9" applyNumberFormat="1" applyFont="1" applyBorder="1" applyAlignment="1">
      <alignment horizontal="center" wrapText="1"/>
    </xf>
    <xf numFmtId="1" fontId="3" fillId="0" borderId="6" xfId="9" applyNumberFormat="1" applyFont="1" applyBorder="1" applyAlignment="1">
      <alignment horizontal="center" wrapText="1"/>
    </xf>
    <xf numFmtId="1" fontId="4" fillId="2" borderId="10" xfId="9" applyNumberFormat="1" applyFont="1" applyFill="1" applyBorder="1" applyAlignment="1">
      <alignment horizontal="right" vertical="top"/>
    </xf>
    <xf numFmtId="1" fontId="4" fillId="2" borderId="11" xfId="9" applyNumberFormat="1" applyFont="1" applyFill="1" applyBorder="1" applyAlignment="1">
      <alignment horizontal="right" vertical="top"/>
    </xf>
    <xf numFmtId="1" fontId="7" fillId="0" borderId="0" xfId="9" applyNumberFormat="1" applyFont="1"/>
    <xf numFmtId="1" fontId="8" fillId="0" borderId="0" xfId="0" applyNumberFormat="1" applyFont="1"/>
  </cellXfs>
  <cellStyles count="10">
    <cellStyle name="Normal" xfId="0" builtinId="0"/>
    <cellStyle name="Normal_Sheet2" xfId="9" xr:uid="{8B0FE864-9DC8-47C2-9660-5463E749087C}"/>
    <cellStyle name="style1697229325054" xfId="1" xr:uid="{77C1D617-D85E-4F79-8E26-16C4D2CF3585}"/>
    <cellStyle name="style1697229325337" xfId="2" xr:uid="{97C63B20-EC35-4DD7-B476-A92C28C09930}"/>
    <cellStyle name="style1697229325370" xfId="3" xr:uid="{53E615BD-FF75-4835-B6C0-89E580B854B9}"/>
    <cellStyle name="style1697229325409" xfId="4" xr:uid="{51E7889B-C6A2-4D52-98A3-990C8D7082A0}"/>
    <cellStyle name="style1697229325451" xfId="5" xr:uid="{FA42BC89-6FE1-4938-A69B-958019D70F57}"/>
    <cellStyle name="style1697229325490" xfId="6" xr:uid="{B8EF99A3-4975-42CC-A567-A5C962655859}"/>
    <cellStyle name="style1697229325531" xfId="7" xr:uid="{C54285F5-1FCD-4C99-AF42-2A6BD440D844}"/>
    <cellStyle name="style1697229325574" xfId="8" xr:uid="{E7D3B026-A03F-42AA-9E1B-E85D1C860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D7BF-7A93-4FE6-8A71-43118F22F0E4}">
  <dimension ref="A1:TB970"/>
  <sheetViews>
    <sheetView tabSelected="1" topLeftCell="SH1" workbookViewId="0">
      <pane ySplit="1" topLeftCell="A2" activePane="bottomLeft" state="frozen"/>
      <selection activeCell="SK1" sqref="SK1"/>
      <selection pane="bottomLeft" activeCell="SS121" sqref="SS1:TB121"/>
    </sheetView>
  </sheetViews>
  <sheetFormatPr defaultColWidth="12.5703125" defaultRowHeight="14.25" x14ac:dyDescent="0.2"/>
  <cols>
    <col min="1" max="7" width="12.5703125" style="16"/>
    <col min="8" max="8" width="12.5703125" style="15"/>
    <col min="9" max="16384" width="12.5703125" style="16"/>
  </cols>
  <sheetData>
    <row r="1" spans="1:522" ht="24.75" customHeight="1" x14ac:dyDescent="0.2">
      <c r="A1" s="22" t="s">
        <v>3</v>
      </c>
      <c r="B1" s="24" t="s">
        <v>0</v>
      </c>
      <c r="C1" s="24" t="s">
        <v>1</v>
      </c>
      <c r="D1" s="24" t="s">
        <v>2</v>
      </c>
      <c r="E1" s="22" t="s">
        <v>4</v>
      </c>
      <c r="F1" s="22" t="s">
        <v>5</v>
      </c>
      <c r="G1" s="22" t="s">
        <v>6</v>
      </c>
      <c r="H1" s="14" t="s">
        <v>520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  <c r="BD1" s="22" t="s">
        <v>54</v>
      </c>
      <c r="BE1" s="22" t="s">
        <v>55</v>
      </c>
      <c r="BF1" s="22" t="s">
        <v>56</v>
      </c>
      <c r="BG1" s="22" t="s">
        <v>57</v>
      </c>
      <c r="BH1" s="22" t="s">
        <v>58</v>
      </c>
      <c r="BI1" s="22" t="s">
        <v>59</v>
      </c>
      <c r="BJ1" s="22" t="s">
        <v>60</v>
      </c>
      <c r="BK1" s="22" t="s">
        <v>61</v>
      </c>
      <c r="BL1" s="22" t="s">
        <v>62</v>
      </c>
      <c r="BM1" s="22" t="s">
        <v>63</v>
      </c>
      <c r="BN1" s="22" t="s">
        <v>64</v>
      </c>
      <c r="BO1" s="22" t="s">
        <v>65</v>
      </c>
      <c r="BP1" s="22" t="s">
        <v>66</v>
      </c>
      <c r="BQ1" s="22" t="s">
        <v>67</v>
      </c>
      <c r="BR1" s="22" t="s">
        <v>68</v>
      </c>
      <c r="BS1" s="22" t="s">
        <v>69</v>
      </c>
      <c r="BT1" s="22" t="s">
        <v>70</v>
      </c>
      <c r="BU1" s="22" t="s">
        <v>71</v>
      </c>
      <c r="BV1" s="22" t="s">
        <v>72</v>
      </c>
      <c r="BW1" s="22" t="s">
        <v>73</v>
      </c>
      <c r="BX1" s="22" t="s">
        <v>74</v>
      </c>
      <c r="BY1" s="22" t="s">
        <v>75</v>
      </c>
      <c r="BZ1" s="22" t="s">
        <v>76</v>
      </c>
      <c r="CA1" s="22" t="s">
        <v>77</v>
      </c>
      <c r="CB1" s="22" t="s">
        <v>78</v>
      </c>
      <c r="CC1" s="22" t="s">
        <v>79</v>
      </c>
      <c r="CD1" s="22" t="s">
        <v>80</v>
      </c>
      <c r="CE1" s="22" t="s">
        <v>81</v>
      </c>
      <c r="CF1" s="22" t="s">
        <v>82</v>
      </c>
      <c r="CG1" s="22" t="s">
        <v>83</v>
      </c>
      <c r="CH1" s="22" t="s">
        <v>84</v>
      </c>
      <c r="CI1" s="22" t="s">
        <v>85</v>
      </c>
      <c r="CJ1" s="22" t="s">
        <v>86</v>
      </c>
      <c r="CK1" s="22" t="s">
        <v>87</v>
      </c>
      <c r="CL1" s="22" t="s">
        <v>88</v>
      </c>
      <c r="CM1" s="22" t="s">
        <v>89</v>
      </c>
      <c r="CN1" s="22" t="s">
        <v>90</v>
      </c>
      <c r="CO1" s="22" t="s">
        <v>91</v>
      </c>
      <c r="CP1" s="22" t="s">
        <v>92</v>
      </c>
      <c r="CQ1" s="22" t="s">
        <v>93</v>
      </c>
      <c r="CR1" s="22" t="s">
        <v>94</v>
      </c>
      <c r="CS1" s="22" t="s">
        <v>95</v>
      </c>
      <c r="CT1" s="22" t="s">
        <v>96</v>
      </c>
      <c r="CU1" s="22" t="s">
        <v>97</v>
      </c>
      <c r="CV1" s="22" t="s">
        <v>98</v>
      </c>
      <c r="CW1" s="22" t="s">
        <v>99</v>
      </c>
      <c r="CX1" s="22" t="s">
        <v>100</v>
      </c>
      <c r="CY1" s="22" t="s">
        <v>101</v>
      </c>
      <c r="CZ1" s="22" t="s">
        <v>102</v>
      </c>
      <c r="DA1" s="22" t="s">
        <v>103</v>
      </c>
      <c r="DB1" s="22" t="s">
        <v>104</v>
      </c>
      <c r="DC1" s="22" t="s">
        <v>105</v>
      </c>
      <c r="DD1" s="22" t="s">
        <v>106</v>
      </c>
      <c r="DE1" s="22" t="s">
        <v>107</v>
      </c>
      <c r="DF1" s="22" t="s">
        <v>108</v>
      </c>
      <c r="DG1" s="22" t="s">
        <v>109</v>
      </c>
      <c r="DH1" s="22" t="s">
        <v>110</v>
      </c>
      <c r="DI1" s="22" t="s">
        <v>111</v>
      </c>
      <c r="DJ1" s="22" t="s">
        <v>112</v>
      </c>
      <c r="DK1" s="22" t="s">
        <v>113</v>
      </c>
      <c r="DL1" s="22" t="s">
        <v>114</v>
      </c>
      <c r="DM1" s="22" t="s">
        <v>115</v>
      </c>
      <c r="DN1" s="22" t="s">
        <v>116</v>
      </c>
      <c r="DO1" s="22" t="s">
        <v>117</v>
      </c>
      <c r="DP1" s="22" t="s">
        <v>118</v>
      </c>
      <c r="DQ1" s="22" t="s">
        <v>119</v>
      </c>
      <c r="DR1" s="22" t="s">
        <v>120</v>
      </c>
      <c r="DS1" s="22" t="s">
        <v>121</v>
      </c>
      <c r="DT1" s="22" t="s">
        <v>122</v>
      </c>
      <c r="DU1" s="22" t="s">
        <v>123</v>
      </c>
      <c r="DV1" s="22" t="s">
        <v>124</v>
      </c>
      <c r="DW1" s="22" t="s">
        <v>125</v>
      </c>
      <c r="DX1" s="22" t="s">
        <v>126</v>
      </c>
      <c r="DY1" s="22" t="s">
        <v>127</v>
      </c>
      <c r="DZ1" s="22" t="s">
        <v>128</v>
      </c>
      <c r="EA1" s="22" t="s">
        <v>129</v>
      </c>
      <c r="EB1" s="22" t="s">
        <v>130</v>
      </c>
      <c r="EC1" s="22" t="s">
        <v>131</v>
      </c>
      <c r="ED1" s="22" t="s">
        <v>132</v>
      </c>
      <c r="EE1" s="22" t="s">
        <v>133</v>
      </c>
      <c r="EF1" s="22" t="s">
        <v>134</v>
      </c>
      <c r="EG1" s="22" t="s">
        <v>135</v>
      </c>
      <c r="EH1" s="22" t="s">
        <v>136</v>
      </c>
      <c r="EI1" s="22" t="s">
        <v>137</v>
      </c>
      <c r="EJ1" s="22" t="s">
        <v>138</v>
      </c>
      <c r="EK1" s="22" t="s">
        <v>139</v>
      </c>
      <c r="EL1" s="22" t="s">
        <v>140</v>
      </c>
      <c r="EM1" s="22" t="s">
        <v>141</v>
      </c>
      <c r="EN1" s="22" t="s">
        <v>142</v>
      </c>
      <c r="EO1" s="22" t="s">
        <v>143</v>
      </c>
      <c r="EP1" s="22" t="s">
        <v>144</v>
      </c>
      <c r="EQ1" s="22" t="s">
        <v>145</v>
      </c>
      <c r="ER1" s="22" t="s">
        <v>146</v>
      </c>
      <c r="ES1" s="22" t="s">
        <v>147</v>
      </c>
      <c r="ET1" s="22" t="s">
        <v>148</v>
      </c>
      <c r="EU1" s="22" t="s">
        <v>149</v>
      </c>
      <c r="EV1" s="22" t="s">
        <v>150</v>
      </c>
      <c r="EW1" s="22" t="s">
        <v>151</v>
      </c>
      <c r="EX1" s="22" t="s">
        <v>152</v>
      </c>
      <c r="EY1" s="22" t="s">
        <v>153</v>
      </c>
      <c r="EZ1" s="22" t="s">
        <v>154</v>
      </c>
      <c r="FA1" s="22" t="s">
        <v>155</v>
      </c>
      <c r="FB1" s="22" t="s">
        <v>156</v>
      </c>
      <c r="FC1" s="22" t="s">
        <v>157</v>
      </c>
      <c r="FD1" s="22" t="s">
        <v>158</v>
      </c>
      <c r="FE1" s="22" t="s">
        <v>159</v>
      </c>
      <c r="FF1" s="22" t="s">
        <v>160</v>
      </c>
      <c r="FG1" s="22" t="s">
        <v>161</v>
      </c>
      <c r="FH1" s="22" t="s">
        <v>162</v>
      </c>
      <c r="FI1" s="22" t="s">
        <v>163</v>
      </c>
      <c r="FJ1" s="22" t="s">
        <v>164</v>
      </c>
      <c r="FK1" s="22" t="s">
        <v>165</v>
      </c>
      <c r="FL1" s="22" t="s">
        <v>166</v>
      </c>
      <c r="FM1" s="22" t="s">
        <v>167</v>
      </c>
      <c r="FN1" s="22" t="s">
        <v>168</v>
      </c>
      <c r="FO1" s="22" t="s">
        <v>169</v>
      </c>
      <c r="FP1" s="22" t="s">
        <v>170</v>
      </c>
      <c r="FQ1" s="22" t="s">
        <v>171</v>
      </c>
      <c r="FR1" s="22" t="s">
        <v>172</v>
      </c>
      <c r="FS1" s="22" t="s">
        <v>173</v>
      </c>
      <c r="FT1" s="22" t="s">
        <v>174</v>
      </c>
      <c r="FU1" s="22" t="s">
        <v>175</v>
      </c>
      <c r="FV1" s="22" t="s">
        <v>176</v>
      </c>
      <c r="FW1" s="22" t="s">
        <v>177</v>
      </c>
      <c r="FX1" s="22" t="s">
        <v>178</v>
      </c>
      <c r="FY1" s="22" t="s">
        <v>179</v>
      </c>
      <c r="FZ1" s="22" t="s">
        <v>180</v>
      </c>
      <c r="GA1" s="22" t="s">
        <v>181</v>
      </c>
      <c r="GB1" s="22" t="s">
        <v>182</v>
      </c>
      <c r="GC1" s="22" t="s">
        <v>183</v>
      </c>
      <c r="GD1" s="22" t="s">
        <v>184</v>
      </c>
      <c r="GE1" s="22" t="s">
        <v>185</v>
      </c>
      <c r="GF1" s="22" t="s">
        <v>186</v>
      </c>
      <c r="GG1" s="22" t="s">
        <v>187</v>
      </c>
      <c r="GH1" s="22" t="s">
        <v>188</v>
      </c>
      <c r="GI1" s="22" t="s">
        <v>189</v>
      </c>
      <c r="GJ1" s="22" t="s">
        <v>190</v>
      </c>
      <c r="GK1" s="22" t="s">
        <v>191</v>
      </c>
      <c r="GL1" s="22" t="s">
        <v>192</v>
      </c>
      <c r="GM1" s="22" t="s">
        <v>193</v>
      </c>
      <c r="GN1" s="22" t="s">
        <v>194</v>
      </c>
      <c r="GO1" s="22" t="s">
        <v>195</v>
      </c>
      <c r="GP1" s="22" t="s">
        <v>196</v>
      </c>
      <c r="GQ1" s="22" t="s">
        <v>197</v>
      </c>
      <c r="GR1" s="22" t="s">
        <v>198</v>
      </c>
      <c r="GS1" s="22" t="s">
        <v>199</v>
      </c>
      <c r="GT1" s="22" t="s">
        <v>200</v>
      </c>
      <c r="GU1" s="22" t="s">
        <v>201</v>
      </c>
      <c r="GV1" s="22" t="s">
        <v>202</v>
      </c>
      <c r="GW1" s="22" t="s">
        <v>203</v>
      </c>
      <c r="GX1" s="22" t="s">
        <v>204</v>
      </c>
      <c r="GY1" s="22" t="s">
        <v>205</v>
      </c>
      <c r="GZ1" s="22" t="s">
        <v>206</v>
      </c>
      <c r="HA1" s="22" t="s">
        <v>207</v>
      </c>
      <c r="HB1" s="22" t="s">
        <v>208</v>
      </c>
      <c r="HC1" s="22" t="s">
        <v>209</v>
      </c>
      <c r="HD1" s="22" t="s">
        <v>210</v>
      </c>
      <c r="HE1" s="22" t="s">
        <v>211</v>
      </c>
      <c r="HF1" s="22" t="s">
        <v>212</v>
      </c>
      <c r="HG1" s="22" t="s">
        <v>213</v>
      </c>
      <c r="HH1" s="22" t="s">
        <v>214</v>
      </c>
      <c r="HI1" s="22" t="s">
        <v>215</v>
      </c>
      <c r="HJ1" s="22" t="s">
        <v>216</v>
      </c>
      <c r="HK1" s="22" t="s">
        <v>217</v>
      </c>
      <c r="HL1" s="22" t="s">
        <v>218</v>
      </c>
      <c r="HM1" s="22" t="s">
        <v>219</v>
      </c>
      <c r="HN1" s="22" t="s">
        <v>220</v>
      </c>
      <c r="HO1" s="22" t="s">
        <v>221</v>
      </c>
      <c r="HP1" s="22" t="s">
        <v>222</v>
      </c>
      <c r="HQ1" s="22" t="s">
        <v>223</v>
      </c>
      <c r="HR1" s="22" t="s">
        <v>224</v>
      </c>
      <c r="HS1" s="22" t="s">
        <v>225</v>
      </c>
      <c r="HT1" s="22" t="s">
        <v>226</v>
      </c>
      <c r="HU1" s="22" t="s">
        <v>227</v>
      </c>
      <c r="HV1" s="22" t="s">
        <v>228</v>
      </c>
      <c r="HW1" s="22" t="s">
        <v>229</v>
      </c>
      <c r="HX1" s="22" t="s">
        <v>230</v>
      </c>
      <c r="HY1" s="22" t="s">
        <v>231</v>
      </c>
      <c r="HZ1" s="22" t="s">
        <v>232</v>
      </c>
      <c r="IA1" s="22" t="s">
        <v>233</v>
      </c>
      <c r="IB1" s="22" t="s">
        <v>234</v>
      </c>
      <c r="IC1" s="22" t="s">
        <v>235</v>
      </c>
      <c r="ID1" s="22" t="s">
        <v>236</v>
      </c>
      <c r="IE1" s="22" t="s">
        <v>237</v>
      </c>
      <c r="IF1" s="22" t="s">
        <v>238</v>
      </c>
      <c r="IG1" s="22" t="s">
        <v>239</v>
      </c>
      <c r="IH1" s="22" t="s">
        <v>240</v>
      </c>
      <c r="II1" s="22" t="s">
        <v>241</v>
      </c>
      <c r="IJ1" s="22" t="s">
        <v>242</v>
      </c>
      <c r="IK1" s="22" t="s">
        <v>243</v>
      </c>
      <c r="IL1" s="22" t="s">
        <v>244</v>
      </c>
      <c r="IM1" s="22" t="s">
        <v>245</v>
      </c>
      <c r="IN1" s="22" t="s">
        <v>246</v>
      </c>
      <c r="IO1" s="22" t="s">
        <v>247</v>
      </c>
      <c r="IP1" s="22" t="s">
        <v>248</v>
      </c>
      <c r="IQ1" s="22" t="s">
        <v>249</v>
      </c>
      <c r="IR1" s="22" t="s">
        <v>250</v>
      </c>
      <c r="IS1" s="22" t="s">
        <v>251</v>
      </c>
      <c r="IT1" s="22" t="s">
        <v>252</v>
      </c>
      <c r="IU1" s="22" t="s">
        <v>253</v>
      </c>
      <c r="IV1" s="22" t="s">
        <v>254</v>
      </c>
      <c r="IW1" s="22" t="s">
        <v>255</v>
      </c>
      <c r="IX1" s="22" t="s">
        <v>256</v>
      </c>
      <c r="IY1" s="22" t="s">
        <v>257</v>
      </c>
      <c r="IZ1" s="22" t="s">
        <v>258</v>
      </c>
      <c r="JA1" s="22" t="s">
        <v>259</v>
      </c>
      <c r="JB1" s="22" t="s">
        <v>260</v>
      </c>
      <c r="JC1" s="22" t="s">
        <v>261</v>
      </c>
      <c r="JD1" s="22" t="s">
        <v>262</v>
      </c>
      <c r="JE1" s="22" t="s">
        <v>263</v>
      </c>
      <c r="JF1" s="22" t="s">
        <v>264</v>
      </c>
      <c r="JG1" s="22" t="s">
        <v>265</v>
      </c>
      <c r="JH1" s="22" t="s">
        <v>266</v>
      </c>
      <c r="JI1" s="22" t="s">
        <v>267</v>
      </c>
      <c r="JJ1" s="22" t="s">
        <v>268</v>
      </c>
      <c r="JK1" s="22" t="s">
        <v>269</v>
      </c>
      <c r="JL1" s="22" t="s">
        <v>270</v>
      </c>
      <c r="JM1" s="22" t="s">
        <v>271</v>
      </c>
      <c r="JN1" s="22" t="s">
        <v>272</v>
      </c>
      <c r="JO1" s="22" t="s">
        <v>273</v>
      </c>
      <c r="JP1" s="22" t="s">
        <v>274</v>
      </c>
      <c r="JQ1" s="22" t="s">
        <v>275</v>
      </c>
      <c r="JR1" s="22" t="s">
        <v>276</v>
      </c>
      <c r="JS1" s="22" t="s">
        <v>277</v>
      </c>
      <c r="JT1" s="22" t="s">
        <v>278</v>
      </c>
      <c r="JU1" s="22" t="s">
        <v>279</v>
      </c>
      <c r="JV1" s="22" t="s">
        <v>280</v>
      </c>
      <c r="JW1" s="22" t="s">
        <v>281</v>
      </c>
      <c r="JX1" s="22" t="s">
        <v>282</v>
      </c>
      <c r="JY1" s="22" t="s">
        <v>283</v>
      </c>
      <c r="JZ1" s="22" t="s">
        <v>284</v>
      </c>
      <c r="KA1" s="22" t="s">
        <v>285</v>
      </c>
      <c r="KB1" s="22" t="s">
        <v>286</v>
      </c>
      <c r="KC1" s="22" t="s">
        <v>287</v>
      </c>
      <c r="KD1" s="22" t="s">
        <v>288</v>
      </c>
      <c r="KE1" s="22" t="s">
        <v>289</v>
      </c>
      <c r="KF1" s="22" t="s">
        <v>290</v>
      </c>
      <c r="KG1" s="22" t="s">
        <v>291</v>
      </c>
      <c r="KH1" s="22" t="s">
        <v>292</v>
      </c>
      <c r="KI1" s="22" t="s">
        <v>293</v>
      </c>
      <c r="KJ1" s="22" t="s">
        <v>294</v>
      </c>
      <c r="KK1" s="22" t="s">
        <v>295</v>
      </c>
      <c r="KL1" s="22" t="s">
        <v>296</v>
      </c>
      <c r="KM1" s="22" t="s">
        <v>297</v>
      </c>
      <c r="KN1" s="22" t="s">
        <v>298</v>
      </c>
      <c r="KO1" s="22" t="s">
        <v>299</v>
      </c>
      <c r="KP1" s="22" t="s">
        <v>300</v>
      </c>
      <c r="KQ1" s="22" t="s">
        <v>301</v>
      </c>
      <c r="KR1" s="22" t="s">
        <v>302</v>
      </c>
      <c r="KS1" s="22" t="s">
        <v>303</v>
      </c>
      <c r="KT1" s="22" t="s">
        <v>304</v>
      </c>
      <c r="KU1" s="22" t="s">
        <v>305</v>
      </c>
      <c r="KV1" s="22" t="s">
        <v>306</v>
      </c>
      <c r="KW1" s="22" t="s">
        <v>307</v>
      </c>
      <c r="KX1" s="22" t="s">
        <v>308</v>
      </c>
      <c r="KY1" s="22" t="s">
        <v>309</v>
      </c>
      <c r="KZ1" s="22" t="s">
        <v>310</v>
      </c>
      <c r="LA1" s="22" t="s">
        <v>311</v>
      </c>
      <c r="LB1" s="22" t="s">
        <v>312</v>
      </c>
      <c r="LC1" s="22" t="s">
        <v>313</v>
      </c>
      <c r="LD1" s="22" t="s">
        <v>314</v>
      </c>
      <c r="LE1" s="22" t="s">
        <v>315</v>
      </c>
      <c r="LF1" s="22" t="s">
        <v>316</v>
      </c>
      <c r="LG1" s="22" t="s">
        <v>317</v>
      </c>
      <c r="LH1" s="22" t="s">
        <v>318</v>
      </c>
      <c r="LI1" s="22" t="s">
        <v>319</v>
      </c>
      <c r="LJ1" s="22" t="s">
        <v>320</v>
      </c>
      <c r="LK1" s="22" t="s">
        <v>321</v>
      </c>
      <c r="LL1" s="22" t="s">
        <v>322</v>
      </c>
      <c r="LM1" s="22" t="s">
        <v>323</v>
      </c>
      <c r="LN1" s="22" t="s">
        <v>324</v>
      </c>
      <c r="LO1" s="22" t="s">
        <v>325</v>
      </c>
      <c r="LP1" s="22" t="s">
        <v>326</v>
      </c>
      <c r="LQ1" s="22" t="s">
        <v>327</v>
      </c>
      <c r="LR1" s="22" t="s">
        <v>328</v>
      </c>
      <c r="LS1" s="22" t="s">
        <v>329</v>
      </c>
      <c r="LT1" s="22" t="s">
        <v>330</v>
      </c>
      <c r="LU1" s="22" t="s">
        <v>331</v>
      </c>
      <c r="LV1" s="22" t="s">
        <v>332</v>
      </c>
      <c r="LW1" s="22" t="s">
        <v>333</v>
      </c>
      <c r="LX1" s="22" t="s">
        <v>334</v>
      </c>
      <c r="LY1" s="22" t="s">
        <v>335</v>
      </c>
      <c r="LZ1" s="22" t="s">
        <v>336</v>
      </c>
      <c r="MA1" s="22" t="s">
        <v>337</v>
      </c>
      <c r="MB1" s="22" t="s">
        <v>338</v>
      </c>
      <c r="MC1" s="22" t="s">
        <v>339</v>
      </c>
      <c r="MD1" s="22" t="s">
        <v>340</v>
      </c>
      <c r="ME1" s="22" t="s">
        <v>341</v>
      </c>
      <c r="MF1" s="22" t="s">
        <v>342</v>
      </c>
      <c r="MG1" s="22" t="s">
        <v>343</v>
      </c>
      <c r="MH1" s="22" t="s">
        <v>344</v>
      </c>
      <c r="MI1" s="22" t="s">
        <v>345</v>
      </c>
      <c r="MJ1" s="22" t="s">
        <v>346</v>
      </c>
      <c r="MK1" s="22" t="s">
        <v>347</v>
      </c>
      <c r="ML1" s="22" t="s">
        <v>348</v>
      </c>
      <c r="MM1" s="22" t="s">
        <v>349</v>
      </c>
      <c r="MN1" s="22" t="s">
        <v>350</v>
      </c>
      <c r="MO1" s="22" t="s">
        <v>351</v>
      </c>
      <c r="MP1" s="22" t="s">
        <v>352</v>
      </c>
      <c r="MQ1" s="22" t="s">
        <v>353</v>
      </c>
      <c r="MR1" s="22" t="s">
        <v>354</v>
      </c>
      <c r="MS1" s="22" t="s">
        <v>355</v>
      </c>
      <c r="MT1" s="22" t="s">
        <v>356</v>
      </c>
      <c r="MU1" s="22" t="s">
        <v>357</v>
      </c>
      <c r="MV1" s="22" t="s">
        <v>358</v>
      </c>
      <c r="MW1" s="22" t="s">
        <v>359</v>
      </c>
      <c r="MX1" s="22" t="s">
        <v>360</v>
      </c>
      <c r="MY1" s="22" t="s">
        <v>361</v>
      </c>
      <c r="MZ1" s="22" t="s">
        <v>362</v>
      </c>
      <c r="NA1" s="22" t="s">
        <v>363</v>
      </c>
      <c r="NB1" s="22" t="s">
        <v>364</v>
      </c>
      <c r="NC1" s="22" t="s">
        <v>365</v>
      </c>
      <c r="ND1" s="22" t="s">
        <v>366</v>
      </c>
      <c r="NE1" s="22" t="s">
        <v>367</v>
      </c>
      <c r="NF1" s="22" t="s">
        <v>368</v>
      </c>
      <c r="NG1" s="22" t="s">
        <v>369</v>
      </c>
      <c r="NH1" s="22" t="s">
        <v>370</v>
      </c>
      <c r="NI1" s="22" t="s">
        <v>371</v>
      </c>
      <c r="NJ1" s="22" t="s">
        <v>372</v>
      </c>
      <c r="NK1" s="22" t="s">
        <v>373</v>
      </c>
      <c r="NL1" s="22" t="s">
        <v>374</v>
      </c>
      <c r="NM1" s="22" t="s">
        <v>375</v>
      </c>
      <c r="NN1" s="22" t="s">
        <v>376</v>
      </c>
      <c r="NO1" s="22" t="s">
        <v>377</v>
      </c>
      <c r="NP1" s="22" t="s">
        <v>378</v>
      </c>
      <c r="NQ1" s="22" t="s">
        <v>379</v>
      </c>
      <c r="NR1" s="22" t="s">
        <v>380</v>
      </c>
      <c r="NS1" s="22" t="s">
        <v>381</v>
      </c>
      <c r="NT1" s="22" t="s">
        <v>382</v>
      </c>
      <c r="NU1" s="22" t="s">
        <v>383</v>
      </c>
      <c r="NV1" s="22" t="s">
        <v>384</v>
      </c>
      <c r="NW1" s="22" t="s">
        <v>385</v>
      </c>
      <c r="NX1" s="22" t="s">
        <v>386</v>
      </c>
      <c r="NY1" s="22" t="s">
        <v>387</v>
      </c>
      <c r="NZ1" s="22" t="s">
        <v>388</v>
      </c>
      <c r="OA1" s="22" t="s">
        <v>389</v>
      </c>
      <c r="OB1" s="22" t="s">
        <v>390</v>
      </c>
      <c r="OC1" s="22" t="s">
        <v>391</v>
      </c>
      <c r="OD1" s="22" t="s">
        <v>392</v>
      </c>
      <c r="OE1" s="22" t="s">
        <v>393</v>
      </c>
      <c r="OF1" s="22" t="s">
        <v>394</v>
      </c>
      <c r="OG1" s="22" t="s">
        <v>395</v>
      </c>
      <c r="OH1" s="22" t="s">
        <v>396</v>
      </c>
      <c r="OI1" s="22" t="s">
        <v>397</v>
      </c>
      <c r="OJ1" s="22" t="s">
        <v>398</v>
      </c>
      <c r="OK1" s="22" t="s">
        <v>399</v>
      </c>
      <c r="OL1" s="22" t="s">
        <v>400</v>
      </c>
      <c r="OM1" s="22" t="s">
        <v>401</v>
      </c>
      <c r="ON1" s="22" t="s">
        <v>402</v>
      </c>
      <c r="OO1" s="22" t="s">
        <v>403</v>
      </c>
      <c r="OP1" s="22" t="s">
        <v>404</v>
      </c>
      <c r="OQ1" s="22" t="s">
        <v>405</v>
      </c>
      <c r="OR1" s="22" t="s">
        <v>406</v>
      </c>
      <c r="OS1" s="22" t="s">
        <v>407</v>
      </c>
      <c r="OT1" s="22" t="s">
        <v>408</v>
      </c>
      <c r="OU1" s="22" t="s">
        <v>409</v>
      </c>
      <c r="OV1" s="22" t="s">
        <v>410</v>
      </c>
      <c r="OW1" s="22" t="s">
        <v>411</v>
      </c>
      <c r="OX1" s="22" t="s">
        <v>412</v>
      </c>
      <c r="OY1" s="22" t="s">
        <v>413</v>
      </c>
      <c r="OZ1" s="22" t="s">
        <v>414</v>
      </c>
      <c r="PA1" s="22" t="s">
        <v>415</v>
      </c>
      <c r="PB1" s="22" t="s">
        <v>416</v>
      </c>
      <c r="PC1" s="22" t="s">
        <v>417</v>
      </c>
      <c r="PD1" s="22" t="s">
        <v>418</v>
      </c>
      <c r="PE1" s="22" t="s">
        <v>419</v>
      </c>
      <c r="PF1" s="22" t="s">
        <v>420</v>
      </c>
      <c r="PG1" s="22" t="s">
        <v>421</v>
      </c>
      <c r="PH1" s="22" t="s">
        <v>422</v>
      </c>
      <c r="PI1" s="22" t="s">
        <v>423</v>
      </c>
      <c r="PJ1" s="22" t="s">
        <v>424</v>
      </c>
      <c r="PK1" s="22" t="s">
        <v>425</v>
      </c>
      <c r="PL1" s="22" t="s">
        <v>426</v>
      </c>
      <c r="PM1" s="22" t="s">
        <v>427</v>
      </c>
      <c r="PN1" s="22" t="s">
        <v>428</v>
      </c>
      <c r="PO1" s="22" t="s">
        <v>429</v>
      </c>
      <c r="PP1" s="22" t="s">
        <v>430</v>
      </c>
      <c r="PQ1" s="22" t="s">
        <v>431</v>
      </c>
      <c r="PR1" s="22" t="s">
        <v>432</v>
      </c>
      <c r="PS1" s="22" t="s">
        <v>433</v>
      </c>
      <c r="PT1" s="22" t="s">
        <v>434</v>
      </c>
      <c r="PU1" s="22" t="s">
        <v>435</v>
      </c>
      <c r="PV1" s="22" t="s">
        <v>436</v>
      </c>
      <c r="PW1" s="22" t="s">
        <v>437</v>
      </c>
      <c r="PX1" s="22" t="s">
        <v>438</v>
      </c>
      <c r="PY1" s="22" t="s">
        <v>439</v>
      </c>
      <c r="PZ1" s="22" t="s">
        <v>440</v>
      </c>
      <c r="QA1" s="22" t="s">
        <v>441</v>
      </c>
      <c r="QB1" s="22" t="s">
        <v>442</v>
      </c>
      <c r="QC1" s="22" t="s">
        <v>443</v>
      </c>
      <c r="QD1" s="22" t="s">
        <v>444</v>
      </c>
      <c r="QE1" s="22" t="s">
        <v>445</v>
      </c>
      <c r="QF1" s="22" t="s">
        <v>446</v>
      </c>
      <c r="QG1" s="22" t="s">
        <v>447</v>
      </c>
      <c r="QH1" s="22" t="s">
        <v>448</v>
      </c>
      <c r="QI1" s="22" t="s">
        <v>449</v>
      </c>
      <c r="QJ1" s="22" t="s">
        <v>450</v>
      </c>
      <c r="QK1" s="22" t="s">
        <v>451</v>
      </c>
      <c r="QL1" s="22" t="s">
        <v>452</v>
      </c>
      <c r="QM1" s="22" t="s">
        <v>453</v>
      </c>
      <c r="QN1" s="22" t="s">
        <v>454</v>
      </c>
      <c r="QO1" s="22" t="s">
        <v>455</v>
      </c>
      <c r="QP1" s="22" t="s">
        <v>456</v>
      </c>
      <c r="QQ1" s="22" t="s">
        <v>457</v>
      </c>
      <c r="QR1" s="22" t="s">
        <v>458</v>
      </c>
      <c r="QS1" s="22" t="s">
        <v>459</v>
      </c>
      <c r="QT1" s="22" t="s">
        <v>460</v>
      </c>
      <c r="QU1" s="22" t="s">
        <v>461</v>
      </c>
      <c r="QV1" s="22" t="s">
        <v>462</v>
      </c>
      <c r="QW1" s="22" t="s">
        <v>463</v>
      </c>
      <c r="QX1" s="22" t="s">
        <v>464</v>
      </c>
      <c r="QY1" s="22" t="s">
        <v>465</v>
      </c>
      <c r="QZ1" s="22" t="s">
        <v>466</v>
      </c>
      <c r="RA1" s="22" t="s">
        <v>467</v>
      </c>
      <c r="RB1" s="22" t="s">
        <v>468</v>
      </c>
      <c r="RC1" s="22" t="s">
        <v>469</v>
      </c>
      <c r="RD1" s="22" t="s">
        <v>470</v>
      </c>
      <c r="RE1" s="22" t="s">
        <v>471</v>
      </c>
      <c r="RF1" s="22" t="s">
        <v>472</v>
      </c>
      <c r="RG1" s="22" t="s">
        <v>473</v>
      </c>
      <c r="RH1" s="22" t="s">
        <v>474</v>
      </c>
      <c r="RI1" s="22" t="s">
        <v>475</v>
      </c>
      <c r="RJ1" s="22" t="s">
        <v>476</v>
      </c>
      <c r="RK1" s="22" t="s">
        <v>477</v>
      </c>
      <c r="RL1" s="22" t="s">
        <v>478</v>
      </c>
      <c r="RM1" s="22" t="s">
        <v>479</v>
      </c>
      <c r="RN1" s="22" t="s">
        <v>480</v>
      </c>
      <c r="RO1" s="22" t="s">
        <v>481</v>
      </c>
      <c r="RP1" s="22" t="s">
        <v>482</v>
      </c>
      <c r="RQ1" s="22" t="s">
        <v>483</v>
      </c>
      <c r="RR1" s="22" t="s">
        <v>484</v>
      </c>
      <c r="RS1" s="22" t="s">
        <v>485</v>
      </c>
      <c r="RT1" s="22" t="s">
        <v>486</v>
      </c>
      <c r="RU1" s="22" t="s">
        <v>487</v>
      </c>
      <c r="RV1" s="22" t="s">
        <v>488</v>
      </c>
      <c r="RW1" s="22" t="s">
        <v>489</v>
      </c>
      <c r="RX1" s="22" t="s">
        <v>490</v>
      </c>
      <c r="RY1" s="22" t="s">
        <v>491</v>
      </c>
      <c r="RZ1" s="22" t="s">
        <v>492</v>
      </c>
      <c r="SA1" s="22" t="s">
        <v>493</v>
      </c>
      <c r="SB1" s="22" t="s">
        <v>494</v>
      </c>
      <c r="SC1" s="22" t="s">
        <v>495</v>
      </c>
      <c r="SD1" s="22" t="s">
        <v>496</v>
      </c>
      <c r="SE1" s="22" t="s">
        <v>497</v>
      </c>
      <c r="SF1" s="22" t="s">
        <v>498</v>
      </c>
      <c r="SG1" s="22" t="s">
        <v>499</v>
      </c>
      <c r="SH1" s="22" t="s">
        <v>500</v>
      </c>
      <c r="SI1" s="22" t="s">
        <v>3</v>
      </c>
      <c r="SJ1" s="25" t="s">
        <v>527</v>
      </c>
      <c r="SK1" s="25" t="s">
        <v>528</v>
      </c>
      <c r="SL1" s="25" t="s">
        <v>526</v>
      </c>
      <c r="SM1" s="2" t="s">
        <v>554</v>
      </c>
      <c r="SN1" s="3" t="s">
        <v>524</v>
      </c>
      <c r="SO1" s="16" t="s">
        <v>559</v>
      </c>
      <c r="SP1" s="3" t="s">
        <v>555</v>
      </c>
      <c r="SQ1" s="3" t="s">
        <v>529</v>
      </c>
      <c r="SR1" s="3" t="s">
        <v>556</v>
      </c>
      <c r="SS1" s="26" t="s">
        <v>557</v>
      </c>
      <c r="ST1" s="26" t="s">
        <v>558</v>
      </c>
      <c r="SU1" s="26" t="s">
        <v>553</v>
      </c>
      <c r="SV1" s="26" t="s">
        <v>530</v>
      </c>
      <c r="SW1" s="26" t="s">
        <v>531</v>
      </c>
      <c r="SX1" s="26" t="s">
        <v>532</v>
      </c>
      <c r="SY1" s="26" t="s">
        <v>521</v>
      </c>
      <c r="SZ1" s="26" t="s">
        <v>533</v>
      </c>
      <c r="TA1" s="26" t="s">
        <v>522</v>
      </c>
      <c r="TB1" s="27" t="s">
        <v>534</v>
      </c>
    </row>
    <row r="2" spans="1:522" ht="15.75" customHeight="1" x14ac:dyDescent="0.2">
      <c r="A2" s="17">
        <v>10002</v>
      </c>
      <c r="B2" s="17" t="s">
        <v>501</v>
      </c>
      <c r="C2" s="17" t="s">
        <v>502</v>
      </c>
      <c r="D2" s="17" t="s">
        <v>503</v>
      </c>
      <c r="E2" s="17" t="s">
        <v>504</v>
      </c>
      <c r="F2" s="18">
        <v>37911</v>
      </c>
      <c r="G2" s="18">
        <v>38441</v>
      </c>
      <c r="H2" s="14">
        <f>DATEDIF(F2, G2, "M")</f>
        <v>17</v>
      </c>
      <c r="I2" s="17" t="s">
        <v>505</v>
      </c>
      <c r="J2" s="17">
        <v>1</v>
      </c>
      <c r="K2" s="17">
        <v>1</v>
      </c>
      <c r="L2" s="17">
        <v>1</v>
      </c>
      <c r="M2" s="17">
        <v>1</v>
      </c>
      <c r="N2" s="17"/>
      <c r="O2" s="17"/>
      <c r="P2" s="17"/>
      <c r="Q2" s="17">
        <v>1</v>
      </c>
      <c r="R2" s="17"/>
      <c r="S2" s="17">
        <v>1</v>
      </c>
      <c r="T2" s="17">
        <v>1</v>
      </c>
      <c r="U2" s="17">
        <v>1</v>
      </c>
      <c r="V2" s="17"/>
      <c r="W2" s="17">
        <v>1</v>
      </c>
      <c r="X2" s="17"/>
      <c r="Y2" s="17">
        <v>1</v>
      </c>
      <c r="Z2" s="17"/>
      <c r="AA2" s="17"/>
      <c r="AB2" s="17">
        <v>1</v>
      </c>
      <c r="AC2" s="17">
        <v>1</v>
      </c>
      <c r="AD2" s="17"/>
      <c r="AE2" s="17">
        <v>1</v>
      </c>
      <c r="AF2" s="17"/>
      <c r="AG2" s="17"/>
      <c r="AH2" s="17">
        <v>1</v>
      </c>
      <c r="AI2" s="17"/>
      <c r="AJ2" s="17"/>
      <c r="AK2" s="17">
        <v>1</v>
      </c>
      <c r="AL2" s="17"/>
      <c r="AM2" s="17">
        <v>1</v>
      </c>
      <c r="AN2" s="17"/>
      <c r="AO2" s="17" t="s">
        <v>507</v>
      </c>
      <c r="AP2" s="17" t="s">
        <v>507</v>
      </c>
      <c r="AQ2" s="17"/>
      <c r="AR2" s="17"/>
      <c r="AS2" s="17"/>
      <c r="AT2" s="17"/>
      <c r="AU2" s="17"/>
      <c r="AV2" s="17"/>
      <c r="AW2" s="17"/>
      <c r="AX2" s="17"/>
      <c r="AY2" s="17">
        <v>2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>
        <v>2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>
        <v>1</v>
      </c>
      <c r="CQ2" s="17"/>
      <c r="CR2" s="17"/>
      <c r="CS2" s="17"/>
      <c r="CT2" s="17">
        <v>1</v>
      </c>
      <c r="CU2" s="17"/>
      <c r="CV2" s="17">
        <v>2</v>
      </c>
      <c r="CW2" s="17"/>
      <c r="CX2" s="17"/>
      <c r="CY2" s="17">
        <v>2</v>
      </c>
      <c r="CZ2" s="17"/>
      <c r="DA2" s="17"/>
      <c r="DB2" s="17"/>
      <c r="DC2" s="17"/>
      <c r="DD2" s="17"/>
      <c r="DE2" s="17">
        <v>1</v>
      </c>
      <c r="DF2" s="17"/>
      <c r="DG2" s="17"/>
      <c r="DH2" s="17"/>
      <c r="DI2" s="17"/>
      <c r="DJ2" s="17"/>
      <c r="DK2" s="17"/>
      <c r="DL2" s="17">
        <v>1</v>
      </c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>
        <v>1</v>
      </c>
      <c r="DZ2" s="17">
        <v>1</v>
      </c>
      <c r="EA2" s="17"/>
      <c r="EB2" s="17"/>
      <c r="EC2" s="17">
        <v>1</v>
      </c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>
        <v>1</v>
      </c>
      <c r="JF2" s="17"/>
      <c r="JG2" s="17"/>
      <c r="JH2" s="17"/>
      <c r="JI2" s="17">
        <v>1</v>
      </c>
      <c r="JJ2" s="17"/>
      <c r="JK2" s="17">
        <v>2</v>
      </c>
      <c r="JL2" s="17"/>
      <c r="JM2" s="17">
        <v>2</v>
      </c>
      <c r="JN2" s="17">
        <v>1</v>
      </c>
      <c r="JO2" s="17"/>
      <c r="JP2" s="17"/>
      <c r="JQ2" s="17">
        <v>2</v>
      </c>
      <c r="JR2" s="17">
        <v>1</v>
      </c>
      <c r="JS2" s="17"/>
      <c r="JT2" s="17"/>
      <c r="JU2" s="17"/>
      <c r="JV2" s="17"/>
      <c r="JW2" s="17"/>
      <c r="JX2" s="17"/>
      <c r="JY2" s="17"/>
      <c r="JZ2" s="17">
        <v>2</v>
      </c>
      <c r="KA2" s="17"/>
      <c r="KB2" s="17"/>
      <c r="KC2" s="17"/>
      <c r="KD2" s="17"/>
      <c r="KE2" s="17"/>
      <c r="KF2" s="17"/>
      <c r="KG2" s="17">
        <v>2</v>
      </c>
      <c r="KH2" s="17"/>
      <c r="KI2" s="17"/>
      <c r="KJ2" s="17">
        <v>1</v>
      </c>
      <c r="KK2" s="17"/>
      <c r="KL2" s="17"/>
      <c r="KM2" s="17">
        <v>1</v>
      </c>
      <c r="KN2" s="17"/>
      <c r="KO2" s="17">
        <v>1</v>
      </c>
      <c r="KP2" s="17"/>
      <c r="KQ2" s="17"/>
      <c r="KR2" s="17">
        <v>1</v>
      </c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>
        <v>1</v>
      </c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>
        <v>1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>
        <v>1</v>
      </c>
      <c r="NS2" s="17"/>
      <c r="NT2" s="17"/>
      <c r="NU2" s="17"/>
      <c r="NV2" s="17"/>
      <c r="NW2" s="17"/>
      <c r="NX2" s="17"/>
      <c r="NY2" s="17"/>
      <c r="NZ2" s="17"/>
      <c r="OA2" s="17">
        <v>1</v>
      </c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>
        <v>1</v>
      </c>
      <c r="PO2" s="17"/>
      <c r="PP2" s="17"/>
      <c r="PQ2" s="17"/>
      <c r="PR2" s="17"/>
      <c r="PS2" s="17"/>
      <c r="PT2" s="17"/>
      <c r="PU2" s="17"/>
      <c r="PV2" s="17"/>
      <c r="PW2" s="17" t="s">
        <v>506</v>
      </c>
      <c r="PX2" s="17" t="s">
        <v>506</v>
      </c>
      <c r="PY2" s="17" t="s">
        <v>506</v>
      </c>
      <c r="PZ2" s="17" t="s">
        <v>506</v>
      </c>
      <c r="QA2" s="17" t="s">
        <v>506</v>
      </c>
      <c r="QB2" s="17" t="s">
        <v>506</v>
      </c>
      <c r="QC2" s="17" t="s">
        <v>506</v>
      </c>
      <c r="QD2" s="17" t="s">
        <v>506</v>
      </c>
      <c r="QE2" s="17" t="s">
        <v>507</v>
      </c>
      <c r="QF2" s="17" t="s">
        <v>506</v>
      </c>
      <c r="QG2" s="17" t="s">
        <v>506</v>
      </c>
      <c r="QH2" s="17" t="s">
        <v>508</v>
      </c>
      <c r="QI2" s="17">
        <v>1</v>
      </c>
      <c r="QJ2" s="17">
        <v>1</v>
      </c>
      <c r="QK2" s="17">
        <v>0</v>
      </c>
      <c r="QL2" s="17">
        <v>1</v>
      </c>
      <c r="QM2" s="17">
        <v>0</v>
      </c>
      <c r="QN2" s="17">
        <v>1</v>
      </c>
      <c r="QO2" s="17">
        <v>1</v>
      </c>
      <c r="QP2" s="17">
        <v>1</v>
      </c>
      <c r="QQ2" s="17">
        <v>1</v>
      </c>
      <c r="QR2" s="17">
        <v>0</v>
      </c>
      <c r="QS2" s="17">
        <v>1</v>
      </c>
      <c r="QT2" s="17">
        <v>1</v>
      </c>
      <c r="QU2" s="17">
        <v>1</v>
      </c>
      <c r="QV2" s="17">
        <v>0</v>
      </c>
      <c r="QW2" s="17">
        <v>0</v>
      </c>
      <c r="QX2" s="17">
        <v>0</v>
      </c>
      <c r="QY2" s="17">
        <v>0</v>
      </c>
      <c r="QZ2" s="17">
        <v>1</v>
      </c>
      <c r="RA2" s="17">
        <v>0</v>
      </c>
      <c r="RB2" s="17">
        <v>1</v>
      </c>
      <c r="RC2" s="17">
        <v>1</v>
      </c>
      <c r="RD2" s="17">
        <v>0</v>
      </c>
      <c r="RE2" s="17">
        <v>0</v>
      </c>
      <c r="RF2" s="17">
        <v>0</v>
      </c>
      <c r="RG2" s="17">
        <v>0</v>
      </c>
      <c r="RH2" s="17">
        <v>0</v>
      </c>
      <c r="RI2" s="17">
        <v>0</v>
      </c>
      <c r="RJ2" s="17">
        <v>0</v>
      </c>
      <c r="RK2" s="17">
        <v>0</v>
      </c>
      <c r="RL2" s="17">
        <v>0</v>
      </c>
      <c r="RM2" s="17">
        <v>0</v>
      </c>
      <c r="RN2" s="17">
        <v>0</v>
      </c>
      <c r="RO2" s="17">
        <v>0</v>
      </c>
      <c r="RP2" s="17">
        <v>0</v>
      </c>
      <c r="RQ2" s="17">
        <v>0</v>
      </c>
      <c r="RR2" s="17">
        <v>0</v>
      </c>
      <c r="RS2" s="17">
        <v>1</v>
      </c>
      <c r="RT2" s="17">
        <v>1</v>
      </c>
      <c r="RU2" s="17">
        <v>1</v>
      </c>
      <c r="RV2" s="17">
        <v>0</v>
      </c>
      <c r="RW2" s="17">
        <v>1</v>
      </c>
      <c r="RX2" s="17">
        <v>1</v>
      </c>
      <c r="RY2" s="17">
        <v>1</v>
      </c>
      <c r="RZ2" s="17">
        <v>0</v>
      </c>
      <c r="SA2" s="17">
        <v>1</v>
      </c>
      <c r="SB2" s="17">
        <v>1</v>
      </c>
      <c r="SC2" s="17">
        <v>0</v>
      </c>
      <c r="SD2" s="17">
        <v>1</v>
      </c>
      <c r="SE2" s="17">
        <v>1</v>
      </c>
      <c r="SF2" s="17">
        <v>0</v>
      </c>
      <c r="SG2" s="17">
        <v>0</v>
      </c>
      <c r="SH2" s="17">
        <v>1</v>
      </c>
      <c r="SI2" s="17">
        <v>10002</v>
      </c>
      <c r="SJ2" s="19">
        <f>COUNTIF(AQ2:PV2, "1")</f>
        <v>20</v>
      </c>
      <c r="SK2" s="19">
        <f t="shared" ref="SK2:SK33" si="0">SL2+SJ2</f>
        <v>29</v>
      </c>
      <c r="SL2" s="19">
        <f t="shared" ref="SL2:SL33" si="1">COUNTIF(AQ2:PV2, "2")</f>
        <v>9</v>
      </c>
      <c r="SM2" s="9">
        <v>10002</v>
      </c>
      <c r="SN2" s="9" t="s">
        <v>504</v>
      </c>
      <c r="SO2" s="10">
        <v>2</v>
      </c>
      <c r="SP2" s="9">
        <v>2</v>
      </c>
      <c r="SQ2" s="11" t="s">
        <v>515</v>
      </c>
      <c r="SR2" s="9">
        <v>18</v>
      </c>
      <c r="SS2" s="28">
        <v>63</v>
      </c>
      <c r="ST2" s="28">
        <v>17</v>
      </c>
      <c r="SU2" s="28">
        <v>29</v>
      </c>
      <c r="SV2" s="28">
        <v>0</v>
      </c>
      <c r="SW2" s="28">
        <v>9</v>
      </c>
      <c r="SX2" s="28">
        <v>13</v>
      </c>
      <c r="SY2" s="29">
        <v>47</v>
      </c>
      <c r="SZ2" s="30">
        <v>70</v>
      </c>
      <c r="TA2" s="31">
        <v>13</v>
      </c>
      <c r="TB2" s="31">
        <v>12</v>
      </c>
    </row>
    <row r="3" spans="1:522" ht="15.75" customHeight="1" x14ac:dyDescent="0.2">
      <c r="A3" s="17">
        <v>10003</v>
      </c>
      <c r="B3" s="17" t="s">
        <v>501</v>
      </c>
      <c r="C3" s="17" t="s">
        <v>502</v>
      </c>
      <c r="D3" s="17" t="s">
        <v>503</v>
      </c>
      <c r="E3" s="17" t="s">
        <v>504</v>
      </c>
      <c r="F3" s="18">
        <v>37932</v>
      </c>
      <c r="G3" s="18">
        <v>38445</v>
      </c>
      <c r="H3" s="14">
        <f t="shared" ref="H3:H65" si="2">DATEDIF(F3, G3, "M")</f>
        <v>16</v>
      </c>
      <c r="I3" s="17" t="s">
        <v>505</v>
      </c>
      <c r="J3" s="17">
        <v>1</v>
      </c>
      <c r="K3" s="17">
        <v>1</v>
      </c>
      <c r="L3" s="17">
        <v>1</v>
      </c>
      <c r="M3" s="17">
        <v>1</v>
      </c>
      <c r="N3" s="17">
        <v>1</v>
      </c>
      <c r="O3" s="17">
        <v>1</v>
      </c>
      <c r="P3" s="17">
        <v>1</v>
      </c>
      <c r="Q3" s="17">
        <v>1</v>
      </c>
      <c r="R3" s="17">
        <v>1</v>
      </c>
      <c r="S3" s="17">
        <v>1</v>
      </c>
      <c r="T3" s="17">
        <v>1</v>
      </c>
      <c r="U3" s="17">
        <v>1</v>
      </c>
      <c r="V3" s="17">
        <v>1</v>
      </c>
      <c r="W3" s="17">
        <v>1</v>
      </c>
      <c r="X3" s="17">
        <v>1</v>
      </c>
      <c r="Y3" s="17">
        <v>1</v>
      </c>
      <c r="Z3" s="17">
        <v>1</v>
      </c>
      <c r="AA3" s="17">
        <v>1</v>
      </c>
      <c r="AB3" s="17">
        <v>1</v>
      </c>
      <c r="AC3" s="17">
        <v>1</v>
      </c>
      <c r="AD3" s="17">
        <v>1</v>
      </c>
      <c r="AE3" s="17">
        <v>1</v>
      </c>
      <c r="AF3" s="17">
        <v>1</v>
      </c>
      <c r="AG3" s="17">
        <v>1</v>
      </c>
      <c r="AH3" s="17">
        <v>1</v>
      </c>
      <c r="AI3" s="17">
        <v>1</v>
      </c>
      <c r="AJ3" s="17">
        <v>1</v>
      </c>
      <c r="AK3" s="17">
        <v>1</v>
      </c>
      <c r="AL3" s="17">
        <v>1</v>
      </c>
      <c r="AM3" s="17"/>
      <c r="AN3" s="17">
        <v>1</v>
      </c>
      <c r="AO3" s="17" t="s">
        <v>506</v>
      </c>
      <c r="AP3" s="17" t="s">
        <v>507</v>
      </c>
      <c r="AQ3" s="17"/>
      <c r="AR3" s="17">
        <v>1</v>
      </c>
      <c r="AS3" s="17"/>
      <c r="AT3" s="17">
        <v>1</v>
      </c>
      <c r="AU3" s="17">
        <v>2</v>
      </c>
      <c r="AV3" s="17"/>
      <c r="AW3" s="17">
        <v>2</v>
      </c>
      <c r="AX3" s="17">
        <v>1</v>
      </c>
      <c r="AY3" s="17">
        <v>2</v>
      </c>
      <c r="AZ3" s="17">
        <v>2</v>
      </c>
      <c r="BA3" s="17">
        <v>2</v>
      </c>
      <c r="BB3" s="17">
        <v>1</v>
      </c>
      <c r="BC3" s="17">
        <v>1</v>
      </c>
      <c r="BD3" s="17"/>
      <c r="BE3" s="17"/>
      <c r="BF3" s="17">
        <v>1</v>
      </c>
      <c r="BG3" s="17">
        <v>2</v>
      </c>
      <c r="BH3" s="17">
        <v>1</v>
      </c>
      <c r="BI3" s="17"/>
      <c r="BJ3" s="17">
        <v>2</v>
      </c>
      <c r="BK3" s="17"/>
      <c r="BL3" s="17"/>
      <c r="BM3" s="17"/>
      <c r="BN3" s="17">
        <v>2</v>
      </c>
      <c r="BO3" s="17"/>
      <c r="BP3" s="17"/>
      <c r="BQ3" s="17"/>
      <c r="BR3" s="17"/>
      <c r="BS3" s="17"/>
      <c r="BT3" s="17"/>
      <c r="BU3" s="17"/>
      <c r="BV3" s="17"/>
      <c r="BW3" s="17">
        <v>2</v>
      </c>
      <c r="BX3" s="17"/>
      <c r="BY3" s="17"/>
      <c r="BZ3" s="17">
        <v>1</v>
      </c>
      <c r="CA3" s="17"/>
      <c r="CB3" s="17"/>
      <c r="CC3" s="17"/>
      <c r="CD3" s="17">
        <v>1</v>
      </c>
      <c r="CE3" s="17"/>
      <c r="CF3" s="17"/>
      <c r="CG3" s="17"/>
      <c r="CH3" s="17"/>
      <c r="CI3" s="17">
        <v>1</v>
      </c>
      <c r="CJ3" s="17"/>
      <c r="CK3" s="17"/>
      <c r="CL3" s="17"/>
      <c r="CM3" s="17"/>
      <c r="CN3" s="17"/>
      <c r="CO3" s="17">
        <v>2</v>
      </c>
      <c r="CP3" s="17">
        <v>2</v>
      </c>
      <c r="CQ3" s="17"/>
      <c r="CR3" s="17"/>
      <c r="CS3" s="17">
        <v>1</v>
      </c>
      <c r="CT3" s="17">
        <v>1</v>
      </c>
      <c r="CU3" s="17">
        <v>1</v>
      </c>
      <c r="CV3" s="17">
        <v>2</v>
      </c>
      <c r="CW3" s="17"/>
      <c r="CX3" s="17">
        <v>1</v>
      </c>
      <c r="CY3" s="17">
        <v>2</v>
      </c>
      <c r="CZ3" s="17"/>
      <c r="DA3" s="17"/>
      <c r="DB3" s="17">
        <v>1</v>
      </c>
      <c r="DC3" s="17">
        <v>1</v>
      </c>
      <c r="DD3" s="17">
        <v>1</v>
      </c>
      <c r="DE3" s="17">
        <v>2</v>
      </c>
      <c r="DF3" s="17"/>
      <c r="DG3" s="17"/>
      <c r="DH3" s="17"/>
      <c r="DI3" s="17"/>
      <c r="DJ3" s="17"/>
      <c r="DK3" s="17">
        <v>1</v>
      </c>
      <c r="DL3" s="17">
        <v>1</v>
      </c>
      <c r="DM3" s="17">
        <v>2</v>
      </c>
      <c r="DN3" s="17"/>
      <c r="DO3" s="17"/>
      <c r="DP3" s="17">
        <v>1</v>
      </c>
      <c r="DQ3" s="17">
        <v>2</v>
      </c>
      <c r="DR3" s="17">
        <v>2</v>
      </c>
      <c r="DS3" s="17"/>
      <c r="DT3" s="17"/>
      <c r="DU3" s="17">
        <v>1</v>
      </c>
      <c r="DV3" s="17"/>
      <c r="DW3" s="17">
        <v>2</v>
      </c>
      <c r="DX3" s="17">
        <v>1</v>
      </c>
      <c r="DY3" s="17">
        <v>1</v>
      </c>
      <c r="DZ3" s="17">
        <v>1</v>
      </c>
      <c r="EA3" s="17"/>
      <c r="EB3" s="17"/>
      <c r="EC3" s="17"/>
      <c r="ED3" s="17">
        <v>1</v>
      </c>
      <c r="EE3" s="17"/>
      <c r="EF3" s="17"/>
      <c r="EG3" s="17">
        <v>1</v>
      </c>
      <c r="EH3" s="17"/>
      <c r="EI3" s="17"/>
      <c r="EJ3" s="17"/>
      <c r="EK3" s="17">
        <v>1</v>
      </c>
      <c r="EL3" s="17"/>
      <c r="EM3" s="17">
        <v>1</v>
      </c>
      <c r="EN3" s="17"/>
      <c r="EO3" s="17"/>
      <c r="EP3" s="17">
        <v>1</v>
      </c>
      <c r="EQ3" s="17"/>
      <c r="ER3" s="17"/>
      <c r="ES3" s="17"/>
      <c r="ET3" s="17">
        <v>1</v>
      </c>
      <c r="EU3" s="17"/>
      <c r="EV3" s="17">
        <v>2</v>
      </c>
      <c r="EW3" s="17"/>
      <c r="EX3" s="17">
        <v>1</v>
      </c>
      <c r="EY3" s="17">
        <v>1</v>
      </c>
      <c r="EZ3" s="17"/>
      <c r="FA3" s="17">
        <v>1</v>
      </c>
      <c r="FB3" s="17">
        <v>1</v>
      </c>
      <c r="FC3" s="17"/>
      <c r="FD3" s="17"/>
      <c r="FE3" s="17">
        <v>1</v>
      </c>
      <c r="FF3" s="17"/>
      <c r="FG3" s="17">
        <v>1</v>
      </c>
      <c r="FH3" s="17"/>
      <c r="FI3" s="17"/>
      <c r="FJ3" s="17"/>
      <c r="FK3" s="17">
        <v>1</v>
      </c>
      <c r="FL3" s="17"/>
      <c r="FM3" s="17"/>
      <c r="FN3" s="17"/>
      <c r="FO3" s="17">
        <v>2</v>
      </c>
      <c r="FP3" s="17">
        <v>2</v>
      </c>
      <c r="FQ3" s="17"/>
      <c r="FR3" s="17">
        <v>1</v>
      </c>
      <c r="FS3" s="17"/>
      <c r="FT3" s="17">
        <v>1</v>
      </c>
      <c r="FU3" s="17">
        <v>1</v>
      </c>
      <c r="FV3" s="17"/>
      <c r="FW3" s="17">
        <v>1</v>
      </c>
      <c r="FX3" s="17"/>
      <c r="FY3" s="17"/>
      <c r="FZ3" s="17"/>
      <c r="GA3" s="17">
        <v>2</v>
      </c>
      <c r="GB3" s="17"/>
      <c r="GC3" s="17">
        <v>2</v>
      </c>
      <c r="GD3" s="17"/>
      <c r="GE3" s="17">
        <v>1</v>
      </c>
      <c r="GF3" s="17"/>
      <c r="GG3" s="17"/>
      <c r="GH3" s="17">
        <v>1</v>
      </c>
      <c r="GI3" s="17">
        <v>2</v>
      </c>
      <c r="GJ3" s="17"/>
      <c r="GK3" s="17">
        <v>1</v>
      </c>
      <c r="GL3" s="17">
        <v>1</v>
      </c>
      <c r="GM3" s="17">
        <v>1</v>
      </c>
      <c r="GN3" s="17">
        <v>1</v>
      </c>
      <c r="GO3" s="17"/>
      <c r="GP3" s="17">
        <v>1</v>
      </c>
      <c r="GQ3" s="17"/>
      <c r="GR3" s="17"/>
      <c r="GS3" s="17"/>
      <c r="GT3" s="17"/>
      <c r="GU3" s="17"/>
      <c r="GV3" s="17"/>
      <c r="GW3" s="17"/>
      <c r="GX3" s="17">
        <v>1</v>
      </c>
      <c r="GY3" s="17">
        <v>1</v>
      </c>
      <c r="GZ3" s="17">
        <v>1</v>
      </c>
      <c r="HA3" s="17"/>
      <c r="HB3" s="17"/>
      <c r="HC3" s="17">
        <v>1</v>
      </c>
      <c r="HD3" s="17"/>
      <c r="HE3" s="17"/>
      <c r="HF3" s="17">
        <v>1</v>
      </c>
      <c r="HG3" s="17">
        <v>1</v>
      </c>
      <c r="HH3" s="17">
        <v>1</v>
      </c>
      <c r="HI3" s="17"/>
      <c r="HJ3" s="17"/>
      <c r="HK3" s="17">
        <v>1</v>
      </c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>
        <v>1</v>
      </c>
      <c r="IC3" s="17"/>
      <c r="ID3" s="17"/>
      <c r="IE3" s="17">
        <v>1</v>
      </c>
      <c r="IF3" s="17"/>
      <c r="IG3" s="17"/>
      <c r="IH3" s="17"/>
      <c r="II3" s="17"/>
      <c r="IJ3" s="17"/>
      <c r="IK3" s="17">
        <v>1</v>
      </c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>
        <v>1</v>
      </c>
      <c r="IX3" s="17"/>
      <c r="IY3" s="17"/>
      <c r="IZ3" s="17"/>
      <c r="JA3" s="17">
        <v>1</v>
      </c>
      <c r="JB3" s="17"/>
      <c r="JC3" s="17"/>
      <c r="JD3" s="17">
        <v>2</v>
      </c>
      <c r="JE3" s="17">
        <v>2</v>
      </c>
      <c r="JF3" s="17"/>
      <c r="JG3" s="17"/>
      <c r="JH3" s="17"/>
      <c r="JI3" s="17"/>
      <c r="JJ3" s="17"/>
      <c r="JK3" s="17">
        <v>2</v>
      </c>
      <c r="JL3" s="17"/>
      <c r="JM3" s="17">
        <v>2</v>
      </c>
      <c r="JN3" s="17"/>
      <c r="JO3" s="17"/>
      <c r="JP3" s="17"/>
      <c r="JQ3" s="17">
        <v>2</v>
      </c>
      <c r="JR3" s="17"/>
      <c r="JS3" s="17"/>
      <c r="JT3" s="17"/>
      <c r="JU3" s="17"/>
      <c r="JV3" s="17"/>
      <c r="JW3" s="17">
        <v>1</v>
      </c>
      <c r="JX3" s="17">
        <v>1</v>
      </c>
      <c r="JY3" s="17">
        <v>1</v>
      </c>
      <c r="JZ3" s="17">
        <v>2</v>
      </c>
      <c r="KA3" s="17">
        <v>1</v>
      </c>
      <c r="KB3" s="17">
        <v>2</v>
      </c>
      <c r="KC3" s="17">
        <v>1</v>
      </c>
      <c r="KD3" s="17">
        <v>2</v>
      </c>
      <c r="KE3" s="17">
        <v>1</v>
      </c>
      <c r="KF3" s="17">
        <v>1</v>
      </c>
      <c r="KG3" s="17"/>
      <c r="KH3" s="17">
        <v>2</v>
      </c>
      <c r="KI3" s="17"/>
      <c r="KJ3" s="17">
        <v>1</v>
      </c>
      <c r="KK3" s="17"/>
      <c r="KL3" s="17">
        <v>2</v>
      </c>
      <c r="KM3" s="17">
        <v>2</v>
      </c>
      <c r="KN3" s="17"/>
      <c r="KO3" s="17"/>
      <c r="KP3" s="17">
        <v>2</v>
      </c>
      <c r="KQ3" s="17">
        <v>1</v>
      </c>
      <c r="KR3" s="17">
        <v>1</v>
      </c>
      <c r="KS3" s="17"/>
      <c r="KT3" s="17"/>
      <c r="KU3" s="17"/>
      <c r="KV3" s="17"/>
      <c r="KW3" s="17">
        <v>1</v>
      </c>
      <c r="KX3" s="17"/>
      <c r="KY3" s="17">
        <v>1</v>
      </c>
      <c r="KZ3" s="17">
        <v>1</v>
      </c>
      <c r="LA3" s="17">
        <v>1</v>
      </c>
      <c r="LB3" s="17">
        <v>1</v>
      </c>
      <c r="LC3" s="17">
        <v>1</v>
      </c>
      <c r="LD3" s="17"/>
      <c r="LE3" s="17"/>
      <c r="LF3" s="17"/>
      <c r="LG3" s="17"/>
      <c r="LH3" s="17"/>
      <c r="LI3" s="17">
        <v>2</v>
      </c>
      <c r="LJ3" s="17"/>
      <c r="LK3" s="17"/>
      <c r="LL3" s="17">
        <v>1</v>
      </c>
      <c r="LM3" s="17">
        <v>1</v>
      </c>
      <c r="LN3" s="17"/>
      <c r="LO3" s="17"/>
      <c r="LP3" s="17">
        <v>1</v>
      </c>
      <c r="LQ3" s="17">
        <v>1</v>
      </c>
      <c r="LR3" s="17">
        <v>2</v>
      </c>
      <c r="LS3" s="17">
        <v>1</v>
      </c>
      <c r="LT3" s="17">
        <v>1</v>
      </c>
      <c r="LU3" s="17"/>
      <c r="LV3" s="17">
        <v>1</v>
      </c>
      <c r="LW3" s="17"/>
      <c r="LX3" s="17">
        <v>1</v>
      </c>
      <c r="LY3" s="17"/>
      <c r="LZ3" s="17"/>
      <c r="MA3" s="17">
        <v>1</v>
      </c>
      <c r="MB3" s="17"/>
      <c r="MC3" s="17"/>
      <c r="MD3" s="17">
        <v>1</v>
      </c>
      <c r="ME3" s="17">
        <v>1</v>
      </c>
      <c r="MF3" s="17">
        <v>1</v>
      </c>
      <c r="MG3" s="17"/>
      <c r="MH3" s="17">
        <v>1</v>
      </c>
      <c r="MI3" s="17"/>
      <c r="MJ3" s="17"/>
      <c r="MK3" s="17"/>
      <c r="ML3" s="17"/>
      <c r="MM3" s="17">
        <v>1</v>
      </c>
      <c r="MN3" s="17">
        <v>2</v>
      </c>
      <c r="MO3" s="17"/>
      <c r="MP3" s="17">
        <v>1</v>
      </c>
      <c r="MQ3" s="17"/>
      <c r="MR3" s="17">
        <v>1</v>
      </c>
      <c r="MS3" s="17"/>
      <c r="MT3" s="17"/>
      <c r="MU3" s="17"/>
      <c r="MV3" s="17"/>
      <c r="MW3" s="17"/>
      <c r="MX3" s="17"/>
      <c r="MY3" s="17"/>
      <c r="MZ3" s="17"/>
      <c r="NA3" s="17"/>
      <c r="NB3" s="17">
        <v>1</v>
      </c>
      <c r="NC3" s="17">
        <v>1</v>
      </c>
      <c r="ND3" s="17">
        <v>2</v>
      </c>
      <c r="NE3" s="17"/>
      <c r="NF3" s="17"/>
      <c r="NG3" s="17">
        <v>1</v>
      </c>
      <c r="NH3" s="17">
        <v>1</v>
      </c>
      <c r="NI3" s="17"/>
      <c r="NJ3" s="17"/>
      <c r="NK3" s="17"/>
      <c r="NL3" s="17"/>
      <c r="NM3" s="17">
        <v>1</v>
      </c>
      <c r="NN3" s="17"/>
      <c r="NO3" s="17"/>
      <c r="NP3" s="17"/>
      <c r="NQ3" s="17"/>
      <c r="NR3" s="17">
        <v>1</v>
      </c>
      <c r="NS3" s="17">
        <v>2</v>
      </c>
      <c r="NT3" s="17"/>
      <c r="NU3" s="17"/>
      <c r="NV3" s="17">
        <v>2</v>
      </c>
      <c r="NW3" s="17"/>
      <c r="NX3" s="17"/>
      <c r="NY3" s="17"/>
      <c r="NZ3" s="17"/>
      <c r="OA3" s="17">
        <v>1</v>
      </c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>
        <v>1</v>
      </c>
      <c r="OM3" s="17"/>
      <c r="ON3" s="17"/>
      <c r="OO3" s="17"/>
      <c r="OP3" s="17"/>
      <c r="OQ3" s="17"/>
      <c r="OR3" s="17">
        <v>2</v>
      </c>
      <c r="OS3" s="17"/>
      <c r="OT3" s="17"/>
      <c r="OU3" s="17"/>
      <c r="OV3" s="17">
        <v>2</v>
      </c>
      <c r="OW3" s="17"/>
      <c r="OX3" s="17"/>
      <c r="OY3" s="17"/>
      <c r="OZ3" s="17"/>
      <c r="PA3" s="17"/>
      <c r="PB3" s="17"/>
      <c r="PC3" s="17"/>
      <c r="PD3" s="17">
        <v>2</v>
      </c>
      <c r="PE3" s="17"/>
      <c r="PF3" s="17">
        <v>1</v>
      </c>
      <c r="PG3" s="17"/>
      <c r="PH3" s="17"/>
      <c r="PI3" s="17">
        <v>1</v>
      </c>
      <c r="PJ3" s="17">
        <v>1</v>
      </c>
      <c r="PK3" s="17"/>
      <c r="PL3" s="17"/>
      <c r="PM3" s="17"/>
      <c r="PN3" s="17">
        <v>2</v>
      </c>
      <c r="PO3" s="17"/>
      <c r="PP3" s="17"/>
      <c r="PQ3" s="17">
        <v>1</v>
      </c>
      <c r="PR3" s="17"/>
      <c r="PS3" s="17"/>
      <c r="PT3" s="17">
        <v>1</v>
      </c>
      <c r="PU3" s="17"/>
      <c r="PV3" s="17"/>
      <c r="PW3" s="17" t="s">
        <v>506</v>
      </c>
      <c r="PX3" s="17" t="s">
        <v>506</v>
      </c>
      <c r="PY3" s="17" t="s">
        <v>506</v>
      </c>
      <c r="PZ3" s="17" t="s">
        <v>506</v>
      </c>
      <c r="QA3" s="17" t="s">
        <v>506</v>
      </c>
      <c r="QB3" s="17" t="s">
        <v>506</v>
      </c>
      <c r="QC3" s="17"/>
      <c r="QD3" s="17" t="s">
        <v>506</v>
      </c>
      <c r="QE3" s="17"/>
      <c r="QF3" s="17" t="s">
        <v>507</v>
      </c>
      <c r="QG3" s="17"/>
      <c r="QH3" s="17" t="s">
        <v>507</v>
      </c>
      <c r="QI3" s="17">
        <v>1</v>
      </c>
      <c r="QJ3" s="17">
        <v>0</v>
      </c>
      <c r="QK3" s="17">
        <v>0</v>
      </c>
      <c r="QL3" s="17">
        <v>1</v>
      </c>
      <c r="QM3" s="17">
        <v>1</v>
      </c>
      <c r="QN3" s="17">
        <v>1</v>
      </c>
      <c r="QO3" s="17">
        <v>1</v>
      </c>
      <c r="QP3" s="17">
        <v>1</v>
      </c>
      <c r="QQ3" s="17">
        <v>1</v>
      </c>
      <c r="QR3" s="17">
        <v>1</v>
      </c>
      <c r="QS3" s="17">
        <v>1</v>
      </c>
      <c r="QT3" s="17">
        <v>0</v>
      </c>
      <c r="QU3" s="17">
        <v>1</v>
      </c>
      <c r="QV3" s="17">
        <v>0</v>
      </c>
      <c r="QW3" s="17">
        <v>1</v>
      </c>
      <c r="QX3" s="17">
        <v>1</v>
      </c>
      <c r="QY3" s="17">
        <v>0</v>
      </c>
      <c r="QZ3" s="17">
        <v>1</v>
      </c>
      <c r="RA3" s="17">
        <v>0</v>
      </c>
      <c r="RB3" s="17">
        <v>1</v>
      </c>
      <c r="RC3" s="17">
        <v>1</v>
      </c>
      <c r="RD3" s="17">
        <v>0</v>
      </c>
      <c r="RE3" s="17">
        <v>0</v>
      </c>
      <c r="RF3" s="17">
        <v>0</v>
      </c>
      <c r="RG3" s="17">
        <v>1</v>
      </c>
      <c r="RH3" s="17">
        <v>0</v>
      </c>
      <c r="RI3" s="17">
        <v>1</v>
      </c>
      <c r="RJ3" s="17">
        <v>0</v>
      </c>
      <c r="RK3" s="17">
        <v>0</v>
      </c>
      <c r="RL3" s="17">
        <v>0</v>
      </c>
      <c r="RM3" s="17">
        <v>0</v>
      </c>
      <c r="RN3" s="17">
        <v>1</v>
      </c>
      <c r="RO3" s="17">
        <v>0</v>
      </c>
      <c r="RP3" s="17">
        <v>0</v>
      </c>
      <c r="RQ3" s="17">
        <v>0</v>
      </c>
      <c r="RR3" s="17">
        <v>0</v>
      </c>
      <c r="RS3" s="17">
        <v>1</v>
      </c>
      <c r="RT3" s="17">
        <v>1</v>
      </c>
      <c r="RU3" s="17">
        <v>1</v>
      </c>
      <c r="RV3" s="17">
        <v>0</v>
      </c>
      <c r="RW3" s="17">
        <v>1</v>
      </c>
      <c r="RX3" s="17">
        <v>1</v>
      </c>
      <c r="RY3" s="17">
        <v>1</v>
      </c>
      <c r="RZ3" s="17">
        <v>0</v>
      </c>
      <c r="SA3" s="17">
        <v>1</v>
      </c>
      <c r="SB3" s="17">
        <v>1</v>
      </c>
      <c r="SC3" s="17">
        <v>0</v>
      </c>
      <c r="SD3" s="17">
        <v>1</v>
      </c>
      <c r="SE3" s="17">
        <v>1</v>
      </c>
      <c r="SF3" s="17">
        <v>1</v>
      </c>
      <c r="SG3" s="17">
        <v>1</v>
      </c>
      <c r="SH3" s="17"/>
      <c r="SI3" s="17">
        <v>10003</v>
      </c>
      <c r="SJ3" s="19">
        <f t="shared" ref="SJ3:SJ65" si="3">COUNTIF(AQ3:PV3, "1")</f>
        <v>106</v>
      </c>
      <c r="SK3" s="19">
        <f t="shared" si="0"/>
        <v>152</v>
      </c>
      <c r="SL3" s="19">
        <f t="shared" si="1"/>
        <v>46</v>
      </c>
      <c r="SM3" s="9">
        <v>10003</v>
      </c>
      <c r="SN3" s="9" t="s">
        <v>504</v>
      </c>
      <c r="SO3" s="10">
        <v>1</v>
      </c>
      <c r="SP3" s="9">
        <v>2</v>
      </c>
      <c r="SQ3" s="11" t="s">
        <v>516</v>
      </c>
      <c r="SR3" s="9">
        <v>14</v>
      </c>
      <c r="SS3" s="28">
        <v>55</v>
      </c>
      <c r="ST3" s="28">
        <v>17</v>
      </c>
      <c r="SU3" s="28">
        <v>154</v>
      </c>
      <c r="SV3" s="28">
        <v>27</v>
      </c>
      <c r="SW3" s="28">
        <v>46</v>
      </c>
      <c r="SX3" s="28">
        <v>43</v>
      </c>
      <c r="SY3" s="29">
        <v>39</v>
      </c>
      <c r="SZ3" s="30">
        <v>28</v>
      </c>
      <c r="TA3" s="31">
        <v>27</v>
      </c>
      <c r="TB3" s="31">
        <v>85</v>
      </c>
    </row>
    <row r="4" spans="1:522" ht="15.75" customHeight="1" x14ac:dyDescent="0.2">
      <c r="A4" s="17">
        <v>10004</v>
      </c>
      <c r="B4" s="17" t="s">
        <v>501</v>
      </c>
      <c r="C4" s="17" t="s">
        <v>502</v>
      </c>
      <c r="D4" s="17" t="s">
        <v>503</v>
      </c>
      <c r="E4" s="17" t="s">
        <v>504</v>
      </c>
      <c r="F4" s="18">
        <v>37941</v>
      </c>
      <c r="G4" s="18">
        <v>38454</v>
      </c>
      <c r="H4" s="14">
        <f t="shared" si="2"/>
        <v>16</v>
      </c>
      <c r="I4" s="17" t="s">
        <v>505</v>
      </c>
      <c r="J4" s="17">
        <v>1</v>
      </c>
      <c r="K4" s="17">
        <v>1</v>
      </c>
      <c r="L4" s="17">
        <v>1</v>
      </c>
      <c r="M4" s="17"/>
      <c r="N4" s="17"/>
      <c r="O4" s="17">
        <v>1</v>
      </c>
      <c r="P4" s="17"/>
      <c r="Q4" s="17">
        <v>1</v>
      </c>
      <c r="R4" s="17">
        <v>1</v>
      </c>
      <c r="S4" s="17">
        <v>1</v>
      </c>
      <c r="T4" s="17">
        <v>1</v>
      </c>
      <c r="U4" s="17"/>
      <c r="V4" s="17">
        <v>1</v>
      </c>
      <c r="W4" s="17">
        <v>1</v>
      </c>
      <c r="X4" s="17"/>
      <c r="Y4" s="17">
        <v>1</v>
      </c>
      <c r="Z4" s="17">
        <v>1</v>
      </c>
      <c r="AA4" s="17">
        <v>1</v>
      </c>
      <c r="AB4" s="17">
        <v>1</v>
      </c>
      <c r="AC4" s="17"/>
      <c r="AD4" s="17"/>
      <c r="AE4" s="17">
        <v>1</v>
      </c>
      <c r="AF4" s="17">
        <v>1</v>
      </c>
      <c r="AG4" s="17">
        <v>1</v>
      </c>
      <c r="AH4" s="17">
        <v>1</v>
      </c>
      <c r="AI4" s="17"/>
      <c r="AJ4" s="17">
        <v>1</v>
      </c>
      <c r="AK4" s="17">
        <v>1</v>
      </c>
      <c r="AL4" s="17">
        <v>1</v>
      </c>
      <c r="AM4" s="17"/>
      <c r="AN4" s="17"/>
      <c r="AO4" s="17" t="s">
        <v>507</v>
      </c>
      <c r="AP4" s="17" t="s">
        <v>508</v>
      </c>
      <c r="AQ4" s="17"/>
      <c r="AR4" s="17"/>
      <c r="AS4" s="17"/>
      <c r="AT4" s="17">
        <v>1</v>
      </c>
      <c r="AU4" s="17"/>
      <c r="AV4" s="17"/>
      <c r="AW4" s="17"/>
      <c r="AX4" s="17"/>
      <c r="AY4" s="17">
        <v>2</v>
      </c>
      <c r="AZ4" s="17"/>
      <c r="BA4" s="17"/>
      <c r="BB4" s="17"/>
      <c r="BC4" s="17"/>
      <c r="BD4" s="17"/>
      <c r="BE4" s="17"/>
      <c r="BF4" s="17">
        <v>1</v>
      </c>
      <c r="BG4" s="17"/>
      <c r="BH4" s="17"/>
      <c r="BI4" s="17"/>
      <c r="BJ4" s="17">
        <v>1</v>
      </c>
      <c r="BK4" s="17"/>
      <c r="BL4" s="17"/>
      <c r="BM4" s="17"/>
      <c r="BN4" s="17">
        <v>1</v>
      </c>
      <c r="BO4" s="17"/>
      <c r="BP4" s="17">
        <v>1</v>
      </c>
      <c r="BQ4" s="17"/>
      <c r="BR4" s="17">
        <v>1</v>
      </c>
      <c r="BS4" s="17"/>
      <c r="BT4" s="17"/>
      <c r="BU4" s="17"/>
      <c r="BV4" s="17">
        <v>1</v>
      </c>
      <c r="BW4" s="17">
        <v>1</v>
      </c>
      <c r="BX4" s="17"/>
      <c r="BY4" s="17">
        <v>1</v>
      </c>
      <c r="BZ4" s="17"/>
      <c r="CA4" s="17"/>
      <c r="CB4" s="17"/>
      <c r="CC4" s="17"/>
      <c r="CD4" s="17"/>
      <c r="CE4" s="17"/>
      <c r="CF4" s="17">
        <v>2</v>
      </c>
      <c r="CG4" s="17"/>
      <c r="CH4" s="17"/>
      <c r="CI4" s="17"/>
      <c r="CJ4" s="17"/>
      <c r="CK4" s="17"/>
      <c r="CL4" s="17"/>
      <c r="CM4" s="17">
        <v>1</v>
      </c>
      <c r="CN4" s="17"/>
      <c r="CO4" s="17">
        <v>1</v>
      </c>
      <c r="CP4" s="17">
        <v>1</v>
      </c>
      <c r="CQ4" s="17"/>
      <c r="CR4" s="17">
        <v>1</v>
      </c>
      <c r="CS4" s="17">
        <v>1</v>
      </c>
      <c r="CT4" s="17"/>
      <c r="CU4" s="17">
        <v>1</v>
      </c>
      <c r="CV4" s="17">
        <v>2</v>
      </c>
      <c r="CW4" s="17">
        <v>1</v>
      </c>
      <c r="CX4" s="17">
        <v>1</v>
      </c>
      <c r="CY4" s="17">
        <v>1</v>
      </c>
      <c r="CZ4" s="17">
        <v>2</v>
      </c>
      <c r="DA4" s="17"/>
      <c r="DB4" s="17"/>
      <c r="DC4" s="17"/>
      <c r="DD4" s="17"/>
      <c r="DE4" s="17">
        <v>2</v>
      </c>
      <c r="DF4" s="17"/>
      <c r="DG4" s="17"/>
      <c r="DH4" s="17"/>
      <c r="DI4" s="17"/>
      <c r="DJ4" s="17">
        <v>1</v>
      </c>
      <c r="DK4" s="17"/>
      <c r="DL4" s="17"/>
      <c r="DM4" s="17"/>
      <c r="DN4" s="17"/>
      <c r="DO4" s="17"/>
      <c r="DP4" s="17"/>
      <c r="DQ4" s="17">
        <v>2</v>
      </c>
      <c r="DR4" s="17">
        <v>1</v>
      </c>
      <c r="DS4" s="17"/>
      <c r="DT4" s="17"/>
      <c r="DU4" s="17"/>
      <c r="DV4" s="17"/>
      <c r="DW4" s="17">
        <v>1</v>
      </c>
      <c r="DX4" s="17"/>
      <c r="DY4" s="17"/>
      <c r="DZ4" s="17"/>
      <c r="EA4" s="17">
        <v>1</v>
      </c>
      <c r="EB4" s="17"/>
      <c r="EC4" s="17"/>
      <c r="ED4" s="17">
        <v>1</v>
      </c>
      <c r="EE4" s="17"/>
      <c r="EF4" s="17"/>
      <c r="EG4" s="17"/>
      <c r="EH4" s="17"/>
      <c r="EI4" s="17"/>
      <c r="EJ4" s="17"/>
      <c r="EK4" s="17"/>
      <c r="EL4" s="17"/>
      <c r="EM4" s="17">
        <v>1</v>
      </c>
      <c r="EN4" s="17"/>
      <c r="EO4" s="17">
        <v>1</v>
      </c>
      <c r="EP4" s="17">
        <v>1</v>
      </c>
      <c r="EQ4" s="17"/>
      <c r="ER4" s="17"/>
      <c r="ES4" s="17">
        <v>1</v>
      </c>
      <c r="ET4" s="17"/>
      <c r="EU4" s="17"/>
      <c r="EV4" s="17">
        <v>1</v>
      </c>
      <c r="EW4" s="17"/>
      <c r="EX4" s="17">
        <v>1</v>
      </c>
      <c r="EY4" s="17"/>
      <c r="EZ4" s="17"/>
      <c r="FA4" s="17"/>
      <c r="FB4" s="17">
        <v>1</v>
      </c>
      <c r="FC4" s="17"/>
      <c r="FD4" s="17">
        <v>1</v>
      </c>
      <c r="FE4" s="17">
        <v>1</v>
      </c>
      <c r="FF4" s="17">
        <v>1</v>
      </c>
      <c r="FG4" s="17">
        <v>1</v>
      </c>
      <c r="FH4" s="17"/>
      <c r="FI4" s="17">
        <v>1</v>
      </c>
      <c r="FJ4" s="17">
        <v>1</v>
      </c>
      <c r="FK4" s="17">
        <v>1</v>
      </c>
      <c r="FL4" s="17"/>
      <c r="FM4" s="17"/>
      <c r="FN4" s="17">
        <v>1</v>
      </c>
      <c r="FO4" s="17">
        <v>1</v>
      </c>
      <c r="FP4" s="17">
        <v>1</v>
      </c>
      <c r="FQ4" s="17">
        <v>1</v>
      </c>
      <c r="FR4" s="17">
        <v>1</v>
      </c>
      <c r="FS4" s="17">
        <v>1</v>
      </c>
      <c r="FT4" s="17">
        <v>1</v>
      </c>
      <c r="FU4" s="17">
        <v>1</v>
      </c>
      <c r="FV4" s="17"/>
      <c r="FW4" s="17"/>
      <c r="FX4" s="17"/>
      <c r="FY4" s="17">
        <v>1</v>
      </c>
      <c r="FZ4" s="17">
        <v>1</v>
      </c>
      <c r="GA4" s="17"/>
      <c r="GB4" s="17"/>
      <c r="GC4" s="17">
        <v>1</v>
      </c>
      <c r="GD4" s="17"/>
      <c r="GE4" s="17"/>
      <c r="GF4" s="17"/>
      <c r="GG4" s="17"/>
      <c r="GH4" s="17"/>
      <c r="GI4" s="17">
        <v>1</v>
      </c>
      <c r="GJ4" s="17"/>
      <c r="GK4" s="17"/>
      <c r="GL4" s="17"/>
      <c r="GM4" s="17"/>
      <c r="GN4" s="17"/>
      <c r="GO4" s="17"/>
      <c r="GP4" s="17"/>
      <c r="GQ4" s="17"/>
      <c r="GR4" s="17">
        <v>1</v>
      </c>
      <c r="GS4" s="17"/>
      <c r="GT4" s="17"/>
      <c r="GU4" s="17"/>
      <c r="GV4" s="17"/>
      <c r="GW4" s="17"/>
      <c r="GX4" s="17">
        <v>1</v>
      </c>
      <c r="GY4" s="17">
        <v>1</v>
      </c>
      <c r="GZ4" s="17">
        <v>1</v>
      </c>
      <c r="HA4" s="17"/>
      <c r="HB4" s="17">
        <v>1</v>
      </c>
      <c r="HC4" s="17"/>
      <c r="HD4" s="17"/>
      <c r="HE4" s="17">
        <v>1</v>
      </c>
      <c r="HF4" s="17">
        <v>2</v>
      </c>
      <c r="HG4" s="17">
        <v>1</v>
      </c>
      <c r="HH4" s="17">
        <v>1</v>
      </c>
      <c r="HI4" s="17"/>
      <c r="HJ4" s="17">
        <v>1</v>
      </c>
      <c r="HK4" s="17">
        <v>1</v>
      </c>
      <c r="HL4" s="17">
        <v>1</v>
      </c>
      <c r="HM4" s="17"/>
      <c r="HN4" s="17"/>
      <c r="HO4" s="17">
        <v>1</v>
      </c>
      <c r="HP4" s="17">
        <v>1</v>
      </c>
      <c r="HQ4" s="17">
        <v>1</v>
      </c>
      <c r="HR4" s="17"/>
      <c r="HS4" s="17"/>
      <c r="HT4" s="17">
        <v>1</v>
      </c>
      <c r="HU4" s="17"/>
      <c r="HV4" s="17"/>
      <c r="HW4" s="17"/>
      <c r="HX4" s="17">
        <v>1</v>
      </c>
      <c r="HY4" s="17"/>
      <c r="HZ4" s="17"/>
      <c r="IA4" s="17">
        <v>1</v>
      </c>
      <c r="IB4" s="17"/>
      <c r="IC4" s="17"/>
      <c r="ID4" s="17"/>
      <c r="IE4" s="17"/>
      <c r="IF4" s="17"/>
      <c r="IG4" s="17"/>
      <c r="IH4" s="17">
        <v>1</v>
      </c>
      <c r="II4" s="17">
        <v>1</v>
      </c>
      <c r="IJ4" s="17"/>
      <c r="IK4" s="17">
        <v>2</v>
      </c>
      <c r="IL4" s="17">
        <v>1</v>
      </c>
      <c r="IM4" s="17"/>
      <c r="IN4" s="17"/>
      <c r="IO4" s="17"/>
      <c r="IP4" s="17">
        <v>1</v>
      </c>
      <c r="IQ4" s="17"/>
      <c r="IR4" s="17"/>
      <c r="IS4" s="17"/>
      <c r="IT4" s="17"/>
      <c r="IU4" s="17"/>
      <c r="IV4" s="17"/>
      <c r="IW4" s="17"/>
      <c r="IX4" s="17"/>
      <c r="IY4" s="17">
        <v>1</v>
      </c>
      <c r="IZ4" s="17"/>
      <c r="JA4" s="17"/>
      <c r="JB4" s="17"/>
      <c r="JC4" s="17"/>
      <c r="JD4" s="17"/>
      <c r="JE4" s="17">
        <v>2</v>
      </c>
      <c r="JF4" s="17"/>
      <c r="JG4" s="17"/>
      <c r="JH4" s="17"/>
      <c r="JI4" s="17"/>
      <c r="JJ4" s="17"/>
      <c r="JK4" s="17">
        <v>2</v>
      </c>
      <c r="JL4" s="17"/>
      <c r="JM4" s="17"/>
      <c r="JN4" s="17"/>
      <c r="JO4" s="17"/>
      <c r="JP4" s="17"/>
      <c r="JQ4" s="17">
        <v>2</v>
      </c>
      <c r="JR4" s="17">
        <v>1</v>
      </c>
      <c r="JS4" s="17"/>
      <c r="JT4" s="17"/>
      <c r="JU4" s="17"/>
      <c r="JV4" s="17"/>
      <c r="JW4" s="17"/>
      <c r="JX4" s="17">
        <v>2</v>
      </c>
      <c r="JY4" s="17"/>
      <c r="JZ4" s="17">
        <v>2</v>
      </c>
      <c r="KA4" s="17"/>
      <c r="KB4" s="17"/>
      <c r="KC4" s="17">
        <v>1</v>
      </c>
      <c r="KD4" s="17"/>
      <c r="KE4" s="17"/>
      <c r="KF4" s="17">
        <v>1</v>
      </c>
      <c r="KG4" s="17">
        <v>2</v>
      </c>
      <c r="KH4" s="17">
        <v>2</v>
      </c>
      <c r="KI4" s="17">
        <v>1</v>
      </c>
      <c r="KJ4" s="17">
        <v>1</v>
      </c>
      <c r="KK4" s="17">
        <v>1</v>
      </c>
      <c r="KL4" s="17"/>
      <c r="KM4" s="17">
        <v>2</v>
      </c>
      <c r="KN4" s="17"/>
      <c r="KO4" s="17"/>
      <c r="KP4" s="17"/>
      <c r="KQ4" s="17"/>
      <c r="KR4" s="17">
        <v>1</v>
      </c>
      <c r="KS4" s="17"/>
      <c r="KT4" s="17">
        <v>1</v>
      </c>
      <c r="KU4" s="17"/>
      <c r="KV4" s="17"/>
      <c r="KW4" s="17"/>
      <c r="KX4" s="17"/>
      <c r="KY4" s="17">
        <v>1</v>
      </c>
      <c r="KZ4" s="17"/>
      <c r="LA4" s="17"/>
      <c r="LB4" s="17"/>
      <c r="LC4" s="17"/>
      <c r="LD4" s="17"/>
      <c r="LE4" s="17"/>
      <c r="LF4" s="17"/>
      <c r="LG4" s="17">
        <v>1</v>
      </c>
      <c r="LH4" s="17">
        <v>1</v>
      </c>
      <c r="LI4" s="17">
        <v>1</v>
      </c>
      <c r="LJ4" s="17"/>
      <c r="LK4" s="17"/>
      <c r="LL4" s="17">
        <v>1</v>
      </c>
      <c r="LM4" s="17"/>
      <c r="LN4" s="17">
        <v>1</v>
      </c>
      <c r="LO4" s="17"/>
      <c r="LP4" s="17">
        <v>1</v>
      </c>
      <c r="LQ4" s="17">
        <v>1</v>
      </c>
      <c r="LR4" s="17"/>
      <c r="LS4" s="17">
        <v>1</v>
      </c>
      <c r="LT4" s="17"/>
      <c r="LU4" s="17">
        <v>1</v>
      </c>
      <c r="LV4" s="17"/>
      <c r="LW4" s="17"/>
      <c r="LX4" s="17">
        <v>1</v>
      </c>
      <c r="LY4" s="17"/>
      <c r="LZ4" s="17">
        <v>1</v>
      </c>
      <c r="MA4" s="17"/>
      <c r="MB4" s="17"/>
      <c r="MC4" s="17">
        <v>1</v>
      </c>
      <c r="MD4" s="17">
        <v>1</v>
      </c>
      <c r="ME4" s="17"/>
      <c r="MF4" s="17"/>
      <c r="MG4" s="17"/>
      <c r="MH4" s="17">
        <v>1</v>
      </c>
      <c r="MI4" s="17"/>
      <c r="MJ4" s="17">
        <v>1</v>
      </c>
      <c r="MK4" s="17"/>
      <c r="ML4" s="17">
        <v>1</v>
      </c>
      <c r="MM4" s="17">
        <v>2</v>
      </c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>
        <v>2</v>
      </c>
      <c r="NC4" s="17"/>
      <c r="ND4" s="17"/>
      <c r="NE4" s="17"/>
      <c r="NF4" s="17"/>
      <c r="NG4" s="17"/>
      <c r="NH4" s="17">
        <v>1</v>
      </c>
      <c r="NI4" s="17"/>
      <c r="NJ4" s="17">
        <v>1</v>
      </c>
      <c r="NK4" s="17">
        <v>1</v>
      </c>
      <c r="NL4" s="17"/>
      <c r="NM4" s="17">
        <v>1</v>
      </c>
      <c r="NN4" s="17"/>
      <c r="NO4" s="17"/>
      <c r="NP4" s="17"/>
      <c r="NQ4" s="17"/>
      <c r="NR4" s="17"/>
      <c r="NS4" s="17"/>
      <c r="NT4" s="17"/>
      <c r="NU4" s="17"/>
      <c r="NV4" s="17">
        <v>1</v>
      </c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>
        <v>1</v>
      </c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>
        <v>1</v>
      </c>
      <c r="PI4" s="17">
        <v>1</v>
      </c>
      <c r="PJ4" s="17"/>
      <c r="PK4" s="17"/>
      <c r="PL4" s="17">
        <v>1</v>
      </c>
      <c r="PM4" s="17"/>
      <c r="PN4" s="17"/>
      <c r="PO4" s="17"/>
      <c r="PP4" s="17"/>
      <c r="PQ4" s="17">
        <v>1</v>
      </c>
      <c r="PR4" s="17"/>
      <c r="PS4" s="17"/>
      <c r="PT4" s="17"/>
      <c r="PU4" s="17"/>
      <c r="PV4" s="17"/>
      <c r="PW4" s="17" t="s">
        <v>506</v>
      </c>
      <c r="PX4" s="17" t="s">
        <v>506</v>
      </c>
      <c r="PY4" s="17"/>
      <c r="PZ4" s="17"/>
      <c r="QA4" s="17" t="s">
        <v>506</v>
      </c>
      <c r="QB4" s="17"/>
      <c r="QC4" s="17" t="s">
        <v>507</v>
      </c>
      <c r="QD4" s="17" t="s">
        <v>507</v>
      </c>
      <c r="QE4" s="17"/>
      <c r="QF4" s="17"/>
      <c r="QG4" s="17" t="s">
        <v>507</v>
      </c>
      <c r="QH4" s="17" t="s">
        <v>508</v>
      </c>
      <c r="QI4" s="17">
        <v>1</v>
      </c>
      <c r="QJ4" s="17">
        <v>1</v>
      </c>
      <c r="QK4" s="17"/>
      <c r="QL4" s="17">
        <v>1</v>
      </c>
      <c r="QM4" s="17">
        <v>1</v>
      </c>
      <c r="QN4" s="17">
        <v>1</v>
      </c>
      <c r="QO4" s="17">
        <v>1</v>
      </c>
      <c r="QP4" s="17">
        <v>1</v>
      </c>
      <c r="QQ4" s="17">
        <v>1</v>
      </c>
      <c r="QR4" s="17">
        <v>1</v>
      </c>
      <c r="QS4" s="17">
        <v>0</v>
      </c>
      <c r="QT4" s="17">
        <v>1</v>
      </c>
      <c r="QU4" s="17">
        <v>1</v>
      </c>
      <c r="QV4" s="17">
        <v>0</v>
      </c>
      <c r="QW4" s="17">
        <v>1</v>
      </c>
      <c r="QX4" s="17">
        <v>1</v>
      </c>
      <c r="QY4" s="17">
        <v>0</v>
      </c>
      <c r="QZ4" s="17">
        <v>1</v>
      </c>
      <c r="RA4" s="17">
        <v>0</v>
      </c>
      <c r="RB4" s="17">
        <v>1</v>
      </c>
      <c r="RC4" s="17">
        <v>1</v>
      </c>
      <c r="RD4" s="17"/>
      <c r="RE4" s="17">
        <v>1</v>
      </c>
      <c r="RF4" s="17">
        <v>0</v>
      </c>
      <c r="RG4" s="17">
        <v>0</v>
      </c>
      <c r="RH4" s="17">
        <v>0</v>
      </c>
      <c r="RI4" s="17"/>
      <c r="RJ4" s="17">
        <v>1</v>
      </c>
      <c r="RK4" s="17"/>
      <c r="RL4" s="17">
        <v>0</v>
      </c>
      <c r="RM4" s="17">
        <v>0</v>
      </c>
      <c r="RN4" s="17">
        <v>1</v>
      </c>
      <c r="RO4" s="17">
        <v>1</v>
      </c>
      <c r="RP4" s="17">
        <v>0</v>
      </c>
      <c r="RQ4" s="17">
        <v>1</v>
      </c>
      <c r="RR4" s="17">
        <v>0</v>
      </c>
      <c r="RS4" s="17">
        <v>1</v>
      </c>
      <c r="RT4" s="17">
        <v>1</v>
      </c>
      <c r="RU4" s="17">
        <v>1</v>
      </c>
      <c r="RV4" s="17">
        <v>0</v>
      </c>
      <c r="RW4" s="17">
        <v>1</v>
      </c>
      <c r="RX4" s="17">
        <v>1</v>
      </c>
      <c r="RY4" s="17">
        <v>0</v>
      </c>
      <c r="RZ4" s="17">
        <v>0</v>
      </c>
      <c r="SA4" s="17">
        <v>1</v>
      </c>
      <c r="SB4" s="17">
        <v>1</v>
      </c>
      <c r="SC4" s="17">
        <v>0</v>
      </c>
      <c r="SD4" s="17">
        <v>0</v>
      </c>
      <c r="SE4" s="17">
        <v>1</v>
      </c>
      <c r="SF4" s="17">
        <v>1</v>
      </c>
      <c r="SG4" s="17">
        <v>1</v>
      </c>
      <c r="SH4" s="17"/>
      <c r="SI4" s="17">
        <v>10004</v>
      </c>
      <c r="SJ4" s="19">
        <f t="shared" si="3"/>
        <v>106</v>
      </c>
      <c r="SK4" s="19">
        <f t="shared" si="0"/>
        <v>124</v>
      </c>
      <c r="SL4" s="19">
        <f t="shared" si="1"/>
        <v>18</v>
      </c>
      <c r="SM4" s="9">
        <v>10004</v>
      </c>
      <c r="SN4" s="9" t="s">
        <v>504</v>
      </c>
      <c r="SO4" s="10">
        <v>1</v>
      </c>
      <c r="SP4" s="9">
        <v>2</v>
      </c>
      <c r="SQ4" s="11" t="s">
        <v>517</v>
      </c>
      <c r="SR4" s="9">
        <v>16</v>
      </c>
      <c r="SS4" s="28">
        <v>66</v>
      </c>
      <c r="ST4" s="28">
        <v>16</v>
      </c>
      <c r="SU4" s="28">
        <v>126</v>
      </c>
      <c r="SV4" s="28">
        <v>28</v>
      </c>
      <c r="SW4" s="28">
        <v>19</v>
      </c>
      <c r="SX4" s="28">
        <v>34</v>
      </c>
      <c r="SY4" s="29">
        <v>42</v>
      </c>
      <c r="SZ4" s="30">
        <v>60</v>
      </c>
      <c r="TA4" s="31">
        <v>18</v>
      </c>
      <c r="TB4" s="31">
        <v>30</v>
      </c>
    </row>
    <row r="5" spans="1:522" ht="15.75" customHeight="1" x14ac:dyDescent="0.2">
      <c r="A5" s="17">
        <v>10005</v>
      </c>
      <c r="B5" s="17" t="s">
        <v>501</v>
      </c>
      <c r="C5" s="17" t="s">
        <v>502</v>
      </c>
      <c r="D5" s="17" t="s">
        <v>503</v>
      </c>
      <c r="E5" s="17" t="s">
        <v>504</v>
      </c>
      <c r="F5" s="18">
        <v>37941</v>
      </c>
      <c r="G5" s="18">
        <v>38460</v>
      </c>
      <c r="H5" s="14">
        <f t="shared" si="2"/>
        <v>17</v>
      </c>
      <c r="I5" s="17" t="s">
        <v>505</v>
      </c>
      <c r="J5" s="17">
        <v>1</v>
      </c>
      <c r="K5" s="17">
        <v>1</v>
      </c>
      <c r="L5" s="17">
        <v>1</v>
      </c>
      <c r="M5" s="17"/>
      <c r="N5" s="17"/>
      <c r="O5" s="17"/>
      <c r="P5" s="17"/>
      <c r="Q5" s="17">
        <v>1</v>
      </c>
      <c r="R5" s="17"/>
      <c r="S5" s="17">
        <v>1</v>
      </c>
      <c r="T5" s="17">
        <v>1</v>
      </c>
      <c r="U5" s="17"/>
      <c r="V5" s="17">
        <v>1</v>
      </c>
      <c r="W5" s="17">
        <v>1</v>
      </c>
      <c r="X5" s="17"/>
      <c r="Y5" s="17">
        <v>1</v>
      </c>
      <c r="Z5" s="17">
        <v>1</v>
      </c>
      <c r="AA5" s="17"/>
      <c r="AB5" s="17">
        <v>1</v>
      </c>
      <c r="AC5" s="17">
        <v>1</v>
      </c>
      <c r="AD5" s="17"/>
      <c r="AE5" s="17">
        <v>1</v>
      </c>
      <c r="AF5" s="17"/>
      <c r="AG5" s="17"/>
      <c r="AH5" s="17">
        <v>1</v>
      </c>
      <c r="AI5" s="17"/>
      <c r="AJ5" s="17">
        <v>1</v>
      </c>
      <c r="AK5" s="17"/>
      <c r="AL5" s="17"/>
      <c r="AM5" s="17"/>
      <c r="AN5" s="17">
        <v>1</v>
      </c>
      <c r="AO5" s="17" t="s">
        <v>507</v>
      </c>
      <c r="AP5" s="17" t="s">
        <v>506</v>
      </c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>
        <v>2</v>
      </c>
      <c r="BQ5" s="17"/>
      <c r="BR5" s="17">
        <v>1</v>
      </c>
      <c r="BS5" s="17">
        <v>1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>
        <v>2</v>
      </c>
      <c r="CQ5" s="17"/>
      <c r="CR5" s="17"/>
      <c r="CS5" s="17">
        <v>1</v>
      </c>
      <c r="CT5" s="17"/>
      <c r="CU5" s="17">
        <v>1</v>
      </c>
      <c r="CV5" s="17">
        <v>2</v>
      </c>
      <c r="CW5" s="17"/>
      <c r="CX5" s="17">
        <v>1</v>
      </c>
      <c r="CY5" s="17">
        <v>1</v>
      </c>
      <c r="CZ5" s="17">
        <v>1</v>
      </c>
      <c r="DA5" s="17"/>
      <c r="DB5" s="17"/>
      <c r="DC5" s="17"/>
      <c r="DD5" s="17">
        <v>1</v>
      </c>
      <c r="DE5" s="17"/>
      <c r="DF5" s="17"/>
      <c r="DG5" s="17"/>
      <c r="DH5" s="17"/>
      <c r="DI5" s="17"/>
      <c r="DJ5" s="17">
        <v>1</v>
      </c>
      <c r="DK5" s="17"/>
      <c r="DL5" s="17"/>
      <c r="DM5" s="17">
        <v>2</v>
      </c>
      <c r="DN5" s="17"/>
      <c r="DO5" s="17"/>
      <c r="DP5" s="17"/>
      <c r="DQ5" s="17">
        <v>1</v>
      </c>
      <c r="DR5" s="17"/>
      <c r="DS5" s="17"/>
      <c r="DT5" s="17"/>
      <c r="DU5" s="17">
        <v>1</v>
      </c>
      <c r="DV5" s="17"/>
      <c r="DW5" s="17"/>
      <c r="DX5" s="17"/>
      <c r="DY5" s="17">
        <v>1</v>
      </c>
      <c r="DZ5" s="17"/>
      <c r="EA5" s="17"/>
      <c r="EB5" s="17"/>
      <c r="EC5" s="17"/>
      <c r="ED5" s="17">
        <v>1</v>
      </c>
      <c r="EE5" s="17"/>
      <c r="EF5" s="17"/>
      <c r="EG5" s="17">
        <v>1</v>
      </c>
      <c r="EH5" s="17"/>
      <c r="EI5" s="17">
        <v>1</v>
      </c>
      <c r="EJ5" s="17"/>
      <c r="EK5" s="17"/>
      <c r="EL5" s="17"/>
      <c r="EM5" s="17"/>
      <c r="EN5" s="17"/>
      <c r="EO5" s="17"/>
      <c r="EP5" s="17">
        <v>1</v>
      </c>
      <c r="EQ5" s="17"/>
      <c r="ER5" s="17"/>
      <c r="ES5" s="17"/>
      <c r="ET5" s="17"/>
      <c r="EU5" s="17"/>
      <c r="EV5" s="17">
        <v>2</v>
      </c>
      <c r="EW5" s="17"/>
      <c r="EX5" s="17">
        <v>1</v>
      </c>
      <c r="EY5" s="17"/>
      <c r="EZ5" s="17"/>
      <c r="FA5" s="17"/>
      <c r="FB5" s="17">
        <v>1</v>
      </c>
      <c r="FC5" s="17"/>
      <c r="FD5" s="17"/>
      <c r="FE5" s="17"/>
      <c r="FF5" s="17"/>
      <c r="FG5" s="17">
        <v>1</v>
      </c>
      <c r="FH5" s="17"/>
      <c r="FI5" s="17">
        <v>1</v>
      </c>
      <c r="FJ5" s="17"/>
      <c r="FK5" s="17"/>
      <c r="FL5" s="17"/>
      <c r="FM5" s="17"/>
      <c r="FN5" s="17"/>
      <c r="FO5" s="17">
        <v>2</v>
      </c>
      <c r="FP5" s="17"/>
      <c r="FQ5" s="17">
        <v>1</v>
      </c>
      <c r="FR5" s="17"/>
      <c r="FS5" s="17">
        <v>1</v>
      </c>
      <c r="FT5" s="17">
        <v>1</v>
      </c>
      <c r="FU5" s="17"/>
      <c r="FV5" s="17">
        <v>1</v>
      </c>
      <c r="FW5" s="17"/>
      <c r="FX5" s="17"/>
      <c r="FY5" s="17"/>
      <c r="FZ5" s="17"/>
      <c r="GA5" s="17"/>
      <c r="GB5" s="17">
        <v>1</v>
      </c>
      <c r="GC5" s="17"/>
      <c r="GD5" s="17"/>
      <c r="GE5" s="17"/>
      <c r="GF5" s="17"/>
      <c r="GG5" s="17"/>
      <c r="GH5" s="17"/>
      <c r="GI5" s="17">
        <v>1</v>
      </c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>
        <v>1</v>
      </c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>
        <v>1</v>
      </c>
      <c r="ID5" s="17"/>
      <c r="IE5" s="17"/>
      <c r="IF5" s="17"/>
      <c r="IG5" s="17"/>
      <c r="IH5" s="17"/>
      <c r="II5" s="17"/>
      <c r="IJ5" s="17"/>
      <c r="IK5" s="17">
        <v>1</v>
      </c>
      <c r="IL5" s="17">
        <v>1</v>
      </c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>
        <v>1</v>
      </c>
      <c r="IX5" s="17"/>
      <c r="IY5" s="17"/>
      <c r="IZ5" s="17">
        <v>2</v>
      </c>
      <c r="JA5" s="17"/>
      <c r="JB5" s="17"/>
      <c r="JC5" s="17"/>
      <c r="JD5" s="17"/>
      <c r="JE5" s="17"/>
      <c r="JF5" s="17">
        <v>2</v>
      </c>
      <c r="JG5" s="17"/>
      <c r="JH5" s="17"/>
      <c r="JI5" s="17"/>
      <c r="JJ5" s="17"/>
      <c r="JK5" s="17">
        <v>2</v>
      </c>
      <c r="JL5" s="17"/>
      <c r="JM5" s="17"/>
      <c r="JN5" s="17"/>
      <c r="JO5" s="17"/>
      <c r="JP5" s="17"/>
      <c r="JQ5" s="17">
        <v>1</v>
      </c>
      <c r="JR5" s="17">
        <v>1</v>
      </c>
      <c r="JS5" s="17"/>
      <c r="JT5" s="17"/>
      <c r="JU5" s="17"/>
      <c r="JV5" s="17"/>
      <c r="JW5" s="17"/>
      <c r="JX5" s="17">
        <v>2</v>
      </c>
      <c r="JY5" s="17"/>
      <c r="JZ5" s="17">
        <v>1</v>
      </c>
      <c r="KA5" s="17"/>
      <c r="KB5" s="17">
        <v>1</v>
      </c>
      <c r="KC5" s="17"/>
      <c r="KD5" s="17">
        <v>2</v>
      </c>
      <c r="KE5" s="17"/>
      <c r="KF5" s="17"/>
      <c r="KG5" s="17"/>
      <c r="KH5" s="17">
        <v>2</v>
      </c>
      <c r="KI5" s="17"/>
      <c r="KJ5" s="17">
        <v>1</v>
      </c>
      <c r="KK5" s="17">
        <v>1</v>
      </c>
      <c r="KL5" s="17"/>
      <c r="KM5" s="17"/>
      <c r="KN5" s="17">
        <v>1</v>
      </c>
      <c r="KO5" s="17"/>
      <c r="KP5" s="17"/>
      <c r="KQ5" s="17"/>
      <c r="KR5" s="17"/>
      <c r="KS5" s="17"/>
      <c r="KT5" s="17">
        <v>1</v>
      </c>
      <c r="KU5" s="17"/>
      <c r="KV5" s="17"/>
      <c r="KW5" s="17"/>
      <c r="KX5" s="17"/>
      <c r="KY5" s="17">
        <v>1</v>
      </c>
      <c r="KZ5" s="17"/>
      <c r="LA5" s="17"/>
      <c r="LB5" s="17"/>
      <c r="LC5" s="17"/>
      <c r="LD5" s="17"/>
      <c r="LE5" s="17"/>
      <c r="LF5" s="17"/>
      <c r="LG5" s="17">
        <v>1</v>
      </c>
      <c r="LH5" s="17">
        <v>1</v>
      </c>
      <c r="LI5" s="17">
        <v>1</v>
      </c>
      <c r="LJ5" s="17"/>
      <c r="LK5" s="17">
        <v>1</v>
      </c>
      <c r="LL5" s="17">
        <v>1</v>
      </c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>
        <v>1</v>
      </c>
      <c r="LX5" s="17"/>
      <c r="LY5" s="17"/>
      <c r="LZ5" s="17"/>
      <c r="MA5" s="17"/>
      <c r="MB5" s="17"/>
      <c r="MC5" s="17"/>
      <c r="MD5" s="17"/>
      <c r="ME5" s="17"/>
      <c r="MF5" s="17"/>
      <c r="MG5" s="17">
        <v>1</v>
      </c>
      <c r="MH5" s="17">
        <v>1</v>
      </c>
      <c r="MI5" s="17"/>
      <c r="MJ5" s="17"/>
      <c r="MK5" s="17"/>
      <c r="ML5" s="17"/>
      <c r="MM5" s="17">
        <v>1</v>
      </c>
      <c r="MN5" s="17"/>
      <c r="MO5" s="17"/>
      <c r="MP5" s="17">
        <v>1</v>
      </c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>
        <v>1</v>
      </c>
      <c r="PB5" s="17"/>
      <c r="PC5" s="17"/>
      <c r="PD5" s="17"/>
      <c r="PE5" s="17"/>
      <c r="PF5" s="17"/>
      <c r="PG5" s="17">
        <v>1</v>
      </c>
      <c r="PH5" s="17"/>
      <c r="PI5" s="17"/>
      <c r="PJ5" s="17"/>
      <c r="PK5" s="17">
        <v>1</v>
      </c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 t="s">
        <v>507</v>
      </c>
      <c r="PY5" s="17"/>
      <c r="PZ5" s="17" t="s">
        <v>507</v>
      </c>
      <c r="QA5" s="17" t="s">
        <v>506</v>
      </c>
      <c r="QB5" s="17" t="s">
        <v>507</v>
      </c>
      <c r="QC5" s="17" t="s">
        <v>508</v>
      </c>
      <c r="QD5" s="17" t="s">
        <v>508</v>
      </c>
      <c r="QE5" s="17" t="s">
        <v>507</v>
      </c>
      <c r="QF5" s="17" t="s">
        <v>508</v>
      </c>
      <c r="QG5" s="17" t="s">
        <v>507</v>
      </c>
      <c r="QH5" s="17" t="s">
        <v>508</v>
      </c>
      <c r="QI5" s="17">
        <v>1</v>
      </c>
      <c r="QJ5" s="17">
        <v>0</v>
      </c>
      <c r="QK5" s="17"/>
      <c r="QL5" s="17">
        <v>1</v>
      </c>
      <c r="QM5" s="17">
        <v>0</v>
      </c>
      <c r="QN5" s="17">
        <v>1</v>
      </c>
      <c r="QO5" s="17">
        <v>1</v>
      </c>
      <c r="QP5" s="17">
        <v>1</v>
      </c>
      <c r="QQ5" s="17">
        <v>1</v>
      </c>
      <c r="QR5" s="17">
        <v>1</v>
      </c>
      <c r="QS5" s="17">
        <v>0</v>
      </c>
      <c r="QT5" s="17">
        <v>1</v>
      </c>
      <c r="QU5" s="17">
        <v>1</v>
      </c>
      <c r="QV5" s="17">
        <v>1</v>
      </c>
      <c r="QW5" s="17">
        <v>0</v>
      </c>
      <c r="QX5" s="17">
        <v>0</v>
      </c>
      <c r="QY5" s="17">
        <v>0</v>
      </c>
      <c r="QZ5" s="17">
        <v>1</v>
      </c>
      <c r="RA5" s="17">
        <v>0</v>
      </c>
      <c r="RB5" s="17">
        <v>1</v>
      </c>
      <c r="RC5" s="17">
        <v>0</v>
      </c>
      <c r="RD5" s="17">
        <v>0</v>
      </c>
      <c r="RE5" s="17">
        <v>1</v>
      </c>
      <c r="RF5" s="17">
        <v>0</v>
      </c>
      <c r="RG5" s="17">
        <v>0</v>
      </c>
      <c r="RH5" s="17">
        <v>0</v>
      </c>
      <c r="RI5" s="17">
        <v>0</v>
      </c>
      <c r="RJ5" s="17">
        <v>0</v>
      </c>
      <c r="RK5" s="17">
        <v>0</v>
      </c>
      <c r="RL5" s="17">
        <v>0</v>
      </c>
      <c r="RM5" s="17">
        <v>0</v>
      </c>
      <c r="RN5" s="17">
        <v>0</v>
      </c>
      <c r="RO5" s="17">
        <v>0</v>
      </c>
      <c r="RP5" s="17">
        <v>0</v>
      </c>
      <c r="RQ5" s="17">
        <v>0</v>
      </c>
      <c r="RR5" s="17">
        <v>0</v>
      </c>
      <c r="RS5" s="17">
        <v>0</v>
      </c>
      <c r="RT5" s="17">
        <v>0</v>
      </c>
      <c r="RU5" s="17">
        <v>1</v>
      </c>
      <c r="RV5" s="17">
        <v>0</v>
      </c>
      <c r="RW5" s="17">
        <v>1</v>
      </c>
      <c r="RX5" s="17">
        <v>1</v>
      </c>
      <c r="RY5" s="17">
        <v>0</v>
      </c>
      <c r="RZ5" s="17">
        <v>0</v>
      </c>
      <c r="SA5" s="17">
        <v>1</v>
      </c>
      <c r="SB5" s="17">
        <v>1</v>
      </c>
      <c r="SC5" s="17">
        <v>0</v>
      </c>
      <c r="SD5" s="17">
        <v>0</v>
      </c>
      <c r="SE5" s="17">
        <v>1</v>
      </c>
      <c r="SF5" s="17">
        <v>1</v>
      </c>
      <c r="SG5" s="17">
        <v>0</v>
      </c>
      <c r="SH5" s="17">
        <v>0</v>
      </c>
      <c r="SI5" s="17">
        <v>10005</v>
      </c>
      <c r="SJ5" s="19">
        <f t="shared" si="3"/>
        <v>53</v>
      </c>
      <c r="SK5" s="19">
        <f t="shared" si="0"/>
        <v>65</v>
      </c>
      <c r="SL5" s="19">
        <f t="shared" si="1"/>
        <v>12</v>
      </c>
      <c r="SM5" s="9">
        <v>10005</v>
      </c>
      <c r="SN5" s="9" t="s">
        <v>504</v>
      </c>
      <c r="SO5" s="10">
        <v>1</v>
      </c>
      <c r="SP5" s="9">
        <v>1</v>
      </c>
      <c r="SQ5" s="11" t="s">
        <v>517</v>
      </c>
      <c r="SR5" s="9">
        <v>16</v>
      </c>
      <c r="SS5" s="28">
        <v>63</v>
      </c>
      <c r="ST5" s="28">
        <v>17</v>
      </c>
      <c r="SU5" s="28">
        <v>65</v>
      </c>
      <c r="SV5" s="28">
        <v>0</v>
      </c>
      <c r="SW5" s="28">
        <v>12</v>
      </c>
      <c r="SX5" s="28">
        <v>14</v>
      </c>
      <c r="SY5" s="29">
        <v>28</v>
      </c>
      <c r="SZ5" s="30">
        <v>7</v>
      </c>
      <c r="TA5" s="31">
        <v>14</v>
      </c>
      <c r="TB5" s="31">
        <v>13</v>
      </c>
    </row>
    <row r="6" spans="1:522" ht="15.75" customHeight="1" x14ac:dyDescent="0.2">
      <c r="A6" s="17">
        <v>10006</v>
      </c>
      <c r="B6" s="17" t="s">
        <v>501</v>
      </c>
      <c r="C6" s="17" t="s">
        <v>502</v>
      </c>
      <c r="D6" s="17" t="s">
        <v>503</v>
      </c>
      <c r="E6" s="17" t="s">
        <v>509</v>
      </c>
      <c r="F6" s="18">
        <v>38024</v>
      </c>
      <c r="G6" s="18">
        <v>38530</v>
      </c>
      <c r="H6" s="14">
        <f t="shared" si="2"/>
        <v>16</v>
      </c>
      <c r="I6" s="17" t="s">
        <v>505</v>
      </c>
      <c r="J6" s="17">
        <v>1</v>
      </c>
      <c r="K6" s="17">
        <v>1</v>
      </c>
      <c r="L6" s="17">
        <v>1</v>
      </c>
      <c r="M6" s="17">
        <v>1</v>
      </c>
      <c r="N6" s="17">
        <v>1</v>
      </c>
      <c r="O6" s="17">
        <v>1</v>
      </c>
      <c r="P6" s="17">
        <v>1</v>
      </c>
      <c r="Q6" s="17">
        <v>1</v>
      </c>
      <c r="R6" s="17">
        <v>1</v>
      </c>
      <c r="S6" s="17">
        <v>1</v>
      </c>
      <c r="T6" s="17"/>
      <c r="U6" s="17">
        <v>1</v>
      </c>
      <c r="V6" s="17"/>
      <c r="W6" s="17">
        <v>1</v>
      </c>
      <c r="X6" s="17">
        <v>1</v>
      </c>
      <c r="Y6" s="17">
        <v>1</v>
      </c>
      <c r="Z6" s="17">
        <v>1</v>
      </c>
      <c r="AA6" s="17">
        <v>1</v>
      </c>
      <c r="AB6" s="17">
        <v>1</v>
      </c>
      <c r="AC6" s="17">
        <v>1</v>
      </c>
      <c r="AD6" s="17"/>
      <c r="AE6" s="17">
        <v>1</v>
      </c>
      <c r="AF6" s="17">
        <v>1</v>
      </c>
      <c r="AG6" s="17"/>
      <c r="AH6" s="17">
        <v>1</v>
      </c>
      <c r="AI6" s="17">
        <v>1</v>
      </c>
      <c r="AJ6" s="17">
        <v>1</v>
      </c>
      <c r="AK6" s="17">
        <v>1</v>
      </c>
      <c r="AL6" s="17">
        <v>1</v>
      </c>
      <c r="AM6" s="17">
        <v>1</v>
      </c>
      <c r="AN6" s="17">
        <v>1</v>
      </c>
      <c r="AO6" s="17" t="s">
        <v>507</v>
      </c>
      <c r="AP6" s="17" t="s">
        <v>507</v>
      </c>
      <c r="AQ6" s="17">
        <v>1</v>
      </c>
      <c r="AR6" s="17">
        <v>2</v>
      </c>
      <c r="AS6" s="17">
        <v>1</v>
      </c>
      <c r="AT6" s="17">
        <v>2</v>
      </c>
      <c r="AU6" s="17">
        <v>1</v>
      </c>
      <c r="AV6" s="17">
        <v>1</v>
      </c>
      <c r="AW6" s="17">
        <v>1</v>
      </c>
      <c r="AX6" s="17">
        <v>1</v>
      </c>
      <c r="AY6" s="17">
        <v>2</v>
      </c>
      <c r="AZ6" s="17">
        <v>1</v>
      </c>
      <c r="BA6" s="17">
        <v>2</v>
      </c>
      <c r="BB6" s="17">
        <v>1</v>
      </c>
      <c r="BC6" s="17"/>
      <c r="BD6" s="17">
        <v>2</v>
      </c>
      <c r="BE6" s="17">
        <v>2</v>
      </c>
      <c r="BF6" s="17">
        <v>2</v>
      </c>
      <c r="BG6" s="17">
        <v>2</v>
      </c>
      <c r="BH6" s="17">
        <v>2</v>
      </c>
      <c r="BI6" s="17">
        <v>1</v>
      </c>
      <c r="BJ6" s="17">
        <v>2</v>
      </c>
      <c r="BK6" s="17">
        <v>1</v>
      </c>
      <c r="BL6" s="17">
        <v>2</v>
      </c>
      <c r="BM6" s="17">
        <v>2</v>
      </c>
      <c r="BN6" s="17">
        <v>2</v>
      </c>
      <c r="BO6" s="17">
        <v>1</v>
      </c>
      <c r="BP6" s="17">
        <v>2</v>
      </c>
      <c r="BQ6" s="17">
        <v>1</v>
      </c>
      <c r="BR6" s="17">
        <v>2</v>
      </c>
      <c r="BS6" s="17">
        <v>2</v>
      </c>
      <c r="BT6" s="17"/>
      <c r="BU6" s="17">
        <v>1</v>
      </c>
      <c r="BV6" s="17">
        <v>2</v>
      </c>
      <c r="BW6" s="17">
        <v>1</v>
      </c>
      <c r="BX6" s="17">
        <v>1</v>
      </c>
      <c r="BY6" s="17">
        <v>1</v>
      </c>
      <c r="BZ6" s="17">
        <v>1</v>
      </c>
      <c r="CA6" s="17">
        <v>1</v>
      </c>
      <c r="CB6" s="17">
        <v>1</v>
      </c>
      <c r="CC6" s="17"/>
      <c r="CD6" s="17"/>
      <c r="CE6" s="17"/>
      <c r="CF6" s="17"/>
      <c r="CG6" s="17">
        <v>1</v>
      </c>
      <c r="CH6" s="17">
        <v>1</v>
      </c>
      <c r="CI6" s="17"/>
      <c r="CJ6" s="17"/>
      <c r="CK6" s="17"/>
      <c r="CL6" s="17">
        <v>1</v>
      </c>
      <c r="CM6" s="17">
        <v>2</v>
      </c>
      <c r="CN6" s="17">
        <v>1</v>
      </c>
      <c r="CO6" s="17"/>
      <c r="CP6" s="17">
        <v>1</v>
      </c>
      <c r="CQ6" s="17"/>
      <c r="CR6" s="17"/>
      <c r="CS6" s="17">
        <v>1</v>
      </c>
      <c r="CT6" s="17">
        <v>2</v>
      </c>
      <c r="CU6" s="17">
        <v>2</v>
      </c>
      <c r="CV6" s="17">
        <v>2</v>
      </c>
      <c r="CW6" s="17">
        <v>2</v>
      </c>
      <c r="CX6" s="17">
        <v>1</v>
      </c>
      <c r="CY6" s="17">
        <v>2</v>
      </c>
      <c r="CZ6" s="17">
        <v>2</v>
      </c>
      <c r="DA6" s="17">
        <v>1</v>
      </c>
      <c r="DB6" s="17"/>
      <c r="DC6" s="17">
        <v>1</v>
      </c>
      <c r="DD6" s="17">
        <v>2</v>
      </c>
      <c r="DE6" s="17">
        <v>2</v>
      </c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>
        <v>1</v>
      </c>
      <c r="DS6" s="17"/>
      <c r="DT6" s="17"/>
      <c r="DU6" s="17"/>
      <c r="DV6" s="17">
        <v>1</v>
      </c>
      <c r="DW6" s="17">
        <v>1</v>
      </c>
      <c r="DX6" s="17"/>
      <c r="DY6" s="17">
        <v>2</v>
      </c>
      <c r="DZ6" s="17"/>
      <c r="EA6" s="17"/>
      <c r="EB6" s="17"/>
      <c r="EC6" s="17"/>
      <c r="ED6" s="17"/>
      <c r="EE6" s="17"/>
      <c r="EF6" s="17"/>
      <c r="EG6" s="17">
        <v>2</v>
      </c>
      <c r="EH6" s="17"/>
      <c r="EI6" s="17">
        <v>2</v>
      </c>
      <c r="EJ6" s="17"/>
      <c r="EK6" s="17"/>
      <c r="EL6" s="17"/>
      <c r="EM6" s="17">
        <v>1</v>
      </c>
      <c r="EN6" s="17">
        <v>1</v>
      </c>
      <c r="EO6" s="17">
        <v>2</v>
      </c>
      <c r="EP6" s="17"/>
      <c r="EQ6" s="17"/>
      <c r="ER6" s="17"/>
      <c r="ES6" s="17">
        <v>1</v>
      </c>
      <c r="ET6" s="17"/>
      <c r="EU6" s="17"/>
      <c r="EV6" s="17">
        <v>2</v>
      </c>
      <c r="EW6" s="17"/>
      <c r="EX6" s="17">
        <v>1</v>
      </c>
      <c r="EY6" s="17"/>
      <c r="EZ6" s="17"/>
      <c r="FA6" s="17"/>
      <c r="FB6" s="17">
        <v>2</v>
      </c>
      <c r="FC6" s="17">
        <v>1</v>
      </c>
      <c r="FD6" s="17">
        <v>1</v>
      </c>
      <c r="FE6" s="17">
        <v>1</v>
      </c>
      <c r="FF6" s="17"/>
      <c r="FG6" s="17">
        <v>1</v>
      </c>
      <c r="FH6" s="17">
        <v>1</v>
      </c>
      <c r="FI6" s="17">
        <v>1</v>
      </c>
      <c r="FJ6" s="17">
        <v>1</v>
      </c>
      <c r="FK6" s="17">
        <v>1</v>
      </c>
      <c r="FL6" s="17">
        <v>1</v>
      </c>
      <c r="FM6" s="17">
        <v>1</v>
      </c>
      <c r="FN6" s="17">
        <v>1</v>
      </c>
      <c r="FO6" s="17">
        <v>2</v>
      </c>
      <c r="FP6" s="17">
        <v>2</v>
      </c>
      <c r="FQ6" s="17">
        <v>1</v>
      </c>
      <c r="FR6" s="17"/>
      <c r="FS6" s="17">
        <v>1</v>
      </c>
      <c r="FT6" s="17">
        <v>1</v>
      </c>
      <c r="FU6" s="17">
        <v>1</v>
      </c>
      <c r="FV6" s="17"/>
      <c r="FW6" s="17">
        <v>2</v>
      </c>
      <c r="FX6" s="17"/>
      <c r="FY6" s="17">
        <v>1</v>
      </c>
      <c r="FZ6" s="17">
        <v>1</v>
      </c>
      <c r="GA6" s="17"/>
      <c r="GB6" s="17"/>
      <c r="GC6" s="17">
        <v>1</v>
      </c>
      <c r="GD6" s="17"/>
      <c r="GE6" s="17"/>
      <c r="GF6" s="17"/>
      <c r="GG6" s="17"/>
      <c r="GH6" s="17"/>
      <c r="GI6" s="17">
        <v>1</v>
      </c>
      <c r="GJ6" s="17"/>
      <c r="GK6" s="17">
        <v>1</v>
      </c>
      <c r="GL6" s="17"/>
      <c r="GM6" s="17"/>
      <c r="GN6" s="17">
        <v>1</v>
      </c>
      <c r="GO6" s="17"/>
      <c r="GP6" s="17"/>
      <c r="GQ6" s="17"/>
      <c r="GR6" s="17">
        <v>1</v>
      </c>
      <c r="GS6" s="17"/>
      <c r="GT6" s="17"/>
      <c r="GU6" s="17"/>
      <c r="GV6" s="17"/>
      <c r="GW6" s="17">
        <v>1</v>
      </c>
      <c r="GX6" s="17">
        <v>1</v>
      </c>
      <c r="GY6" s="17">
        <v>1</v>
      </c>
      <c r="GZ6" s="17">
        <v>1</v>
      </c>
      <c r="HA6" s="17"/>
      <c r="HB6" s="17"/>
      <c r="HC6" s="17"/>
      <c r="HD6" s="17"/>
      <c r="HE6" s="17"/>
      <c r="HF6" s="17"/>
      <c r="HG6" s="17">
        <v>2</v>
      </c>
      <c r="HH6" s="17">
        <v>1</v>
      </c>
      <c r="HI6" s="17"/>
      <c r="HJ6" s="17"/>
      <c r="HK6" s="17"/>
      <c r="HL6" s="17">
        <v>2</v>
      </c>
      <c r="HM6" s="17">
        <v>1</v>
      </c>
      <c r="HN6" s="17"/>
      <c r="HO6" s="17"/>
      <c r="HP6" s="17">
        <v>1</v>
      </c>
      <c r="HQ6" s="17"/>
      <c r="HR6" s="17">
        <v>1</v>
      </c>
      <c r="HS6" s="17"/>
      <c r="HT6" s="17">
        <v>2</v>
      </c>
      <c r="HU6" s="17"/>
      <c r="HV6" s="17">
        <v>1</v>
      </c>
      <c r="HW6" s="17"/>
      <c r="HX6" s="17"/>
      <c r="HY6" s="17"/>
      <c r="HZ6" s="17">
        <v>1</v>
      </c>
      <c r="IA6" s="17">
        <v>1</v>
      </c>
      <c r="IB6" s="17">
        <v>1</v>
      </c>
      <c r="IC6" s="17">
        <v>1</v>
      </c>
      <c r="ID6" s="17"/>
      <c r="IE6" s="17"/>
      <c r="IF6" s="17">
        <v>1</v>
      </c>
      <c r="IG6" s="17"/>
      <c r="IH6" s="17"/>
      <c r="II6" s="17">
        <v>1</v>
      </c>
      <c r="IJ6" s="17">
        <v>2</v>
      </c>
      <c r="IK6" s="17">
        <v>1</v>
      </c>
      <c r="IL6" s="17"/>
      <c r="IM6" s="17"/>
      <c r="IN6" s="17">
        <v>1</v>
      </c>
      <c r="IO6" s="17"/>
      <c r="IP6" s="17">
        <v>2</v>
      </c>
      <c r="IQ6" s="17"/>
      <c r="IR6" s="17"/>
      <c r="IS6" s="17">
        <v>1</v>
      </c>
      <c r="IT6" s="17">
        <v>1</v>
      </c>
      <c r="IU6" s="17"/>
      <c r="IV6" s="17">
        <v>1</v>
      </c>
      <c r="IW6" s="17"/>
      <c r="IX6" s="17">
        <v>1</v>
      </c>
      <c r="IY6" s="17">
        <v>1</v>
      </c>
      <c r="IZ6" s="17">
        <v>2</v>
      </c>
      <c r="JA6" s="17">
        <v>2</v>
      </c>
      <c r="JB6" s="17">
        <v>2</v>
      </c>
      <c r="JC6" s="17"/>
      <c r="JD6" s="17"/>
      <c r="JE6" s="17">
        <v>2</v>
      </c>
      <c r="JF6" s="17"/>
      <c r="JG6" s="17"/>
      <c r="JH6" s="17"/>
      <c r="JI6" s="17"/>
      <c r="JJ6" s="17"/>
      <c r="JK6" s="17">
        <v>2</v>
      </c>
      <c r="JL6" s="17"/>
      <c r="JM6" s="17">
        <v>2</v>
      </c>
      <c r="JN6" s="17"/>
      <c r="JO6" s="17"/>
      <c r="JP6" s="17"/>
      <c r="JQ6" s="17">
        <v>2</v>
      </c>
      <c r="JR6" s="17">
        <v>2</v>
      </c>
      <c r="JS6" s="17"/>
      <c r="JT6" s="17"/>
      <c r="JU6" s="17">
        <v>1</v>
      </c>
      <c r="JV6" s="17"/>
      <c r="JW6" s="17"/>
      <c r="JX6" s="17">
        <v>1</v>
      </c>
      <c r="JY6" s="17"/>
      <c r="JZ6" s="17">
        <v>2</v>
      </c>
      <c r="KA6" s="17"/>
      <c r="KB6" s="17"/>
      <c r="KC6" s="17"/>
      <c r="KD6" s="17">
        <v>2</v>
      </c>
      <c r="KE6" s="17"/>
      <c r="KF6" s="17">
        <v>1</v>
      </c>
      <c r="KG6" s="17">
        <v>2</v>
      </c>
      <c r="KH6" s="17">
        <v>2</v>
      </c>
      <c r="KI6" s="17">
        <v>1</v>
      </c>
      <c r="KJ6" s="17">
        <v>1</v>
      </c>
      <c r="KK6" s="17">
        <v>2</v>
      </c>
      <c r="KL6" s="17">
        <v>2</v>
      </c>
      <c r="KM6" s="17">
        <v>1</v>
      </c>
      <c r="KN6" s="17">
        <v>1</v>
      </c>
      <c r="KO6" s="17"/>
      <c r="KP6" s="17">
        <v>2</v>
      </c>
      <c r="KQ6" s="17">
        <v>1</v>
      </c>
      <c r="KR6" s="17"/>
      <c r="KS6" s="17"/>
      <c r="KT6" s="17"/>
      <c r="KU6" s="17"/>
      <c r="KV6" s="17">
        <v>2</v>
      </c>
      <c r="KW6" s="17">
        <v>1</v>
      </c>
      <c r="KX6" s="17">
        <v>1</v>
      </c>
      <c r="KY6" s="17">
        <v>1</v>
      </c>
      <c r="KZ6" s="17">
        <v>1</v>
      </c>
      <c r="LA6" s="17">
        <v>1</v>
      </c>
      <c r="LB6" s="17">
        <v>1</v>
      </c>
      <c r="LC6" s="17">
        <v>1</v>
      </c>
      <c r="LD6" s="17">
        <v>1</v>
      </c>
      <c r="LE6" s="17">
        <v>1</v>
      </c>
      <c r="LF6" s="17"/>
      <c r="LG6" s="17"/>
      <c r="LH6" s="17">
        <v>1</v>
      </c>
      <c r="LI6" s="17">
        <v>1</v>
      </c>
      <c r="LJ6" s="17">
        <v>1</v>
      </c>
      <c r="LK6" s="17">
        <v>1</v>
      </c>
      <c r="LL6" s="17">
        <v>2</v>
      </c>
      <c r="LM6" s="17"/>
      <c r="LN6" s="17">
        <v>2</v>
      </c>
      <c r="LO6" s="17">
        <v>1</v>
      </c>
      <c r="LP6" s="17">
        <v>1</v>
      </c>
      <c r="LQ6" s="17"/>
      <c r="LR6" s="17">
        <v>1</v>
      </c>
      <c r="LS6" s="17">
        <v>1</v>
      </c>
      <c r="LT6" s="17">
        <v>2</v>
      </c>
      <c r="LU6" s="17"/>
      <c r="LV6" s="17"/>
      <c r="LW6" s="17"/>
      <c r="LX6" s="17">
        <v>1</v>
      </c>
      <c r="LY6" s="17"/>
      <c r="LZ6" s="17">
        <v>1</v>
      </c>
      <c r="MA6" s="17"/>
      <c r="MB6" s="17">
        <v>1</v>
      </c>
      <c r="MC6" s="17">
        <v>1</v>
      </c>
      <c r="MD6" s="17">
        <v>1</v>
      </c>
      <c r="ME6" s="17">
        <v>1</v>
      </c>
      <c r="MF6" s="17">
        <v>1</v>
      </c>
      <c r="MG6" s="17"/>
      <c r="MH6" s="17">
        <v>1</v>
      </c>
      <c r="MI6" s="17">
        <v>1</v>
      </c>
      <c r="MJ6" s="17">
        <v>2</v>
      </c>
      <c r="MK6" s="17"/>
      <c r="ML6" s="17">
        <v>1</v>
      </c>
      <c r="MM6" s="17">
        <v>1</v>
      </c>
      <c r="MN6" s="17">
        <v>1</v>
      </c>
      <c r="MO6" s="17"/>
      <c r="MP6" s="17">
        <v>1</v>
      </c>
      <c r="MQ6" s="17">
        <v>1</v>
      </c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>
        <v>1</v>
      </c>
      <c r="NC6" s="17"/>
      <c r="ND6" s="17"/>
      <c r="NE6" s="17">
        <v>2</v>
      </c>
      <c r="NF6" s="17"/>
      <c r="NG6" s="17"/>
      <c r="NH6" s="17">
        <v>1</v>
      </c>
      <c r="NI6" s="17"/>
      <c r="NJ6" s="17">
        <v>1</v>
      </c>
      <c r="NK6" s="17"/>
      <c r="NL6" s="17"/>
      <c r="NM6" s="17"/>
      <c r="NN6" s="17"/>
      <c r="NO6" s="17"/>
      <c r="NP6" s="17"/>
      <c r="NQ6" s="17"/>
      <c r="NR6" s="17">
        <v>1</v>
      </c>
      <c r="NS6" s="17">
        <v>1</v>
      </c>
      <c r="NT6" s="17">
        <v>1</v>
      </c>
      <c r="NU6" s="17"/>
      <c r="NV6" s="17">
        <v>2</v>
      </c>
      <c r="NW6" s="17"/>
      <c r="NX6" s="17">
        <v>1</v>
      </c>
      <c r="NY6" s="17">
        <v>1</v>
      </c>
      <c r="NZ6" s="17"/>
      <c r="OA6" s="17">
        <v>1</v>
      </c>
      <c r="OB6" s="17"/>
      <c r="OC6" s="17">
        <v>1</v>
      </c>
      <c r="OD6" s="17">
        <v>1</v>
      </c>
      <c r="OE6" s="17"/>
      <c r="OF6" s="17"/>
      <c r="OG6" s="17">
        <v>1</v>
      </c>
      <c r="OH6" s="17"/>
      <c r="OI6" s="17"/>
      <c r="OJ6" s="17">
        <v>1</v>
      </c>
      <c r="OK6" s="17"/>
      <c r="OL6" s="17">
        <v>1</v>
      </c>
      <c r="OM6" s="17"/>
      <c r="ON6" s="17"/>
      <c r="OO6" s="17"/>
      <c r="OP6" s="17"/>
      <c r="OQ6" s="17">
        <v>1</v>
      </c>
      <c r="OR6" s="17">
        <v>2</v>
      </c>
      <c r="OS6" s="17"/>
      <c r="OT6" s="17">
        <v>1</v>
      </c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>
        <v>2</v>
      </c>
      <c r="PG6" s="17">
        <v>2</v>
      </c>
      <c r="PH6" s="17"/>
      <c r="PI6" s="17"/>
      <c r="PJ6" s="17">
        <v>1</v>
      </c>
      <c r="PK6" s="17">
        <v>1</v>
      </c>
      <c r="PL6" s="17">
        <v>1</v>
      </c>
      <c r="PM6" s="17"/>
      <c r="PN6" s="17">
        <v>1</v>
      </c>
      <c r="PO6" s="17"/>
      <c r="PP6" s="17"/>
      <c r="PQ6" s="17">
        <v>1</v>
      </c>
      <c r="PR6" s="17"/>
      <c r="PS6" s="17"/>
      <c r="PT6" s="17"/>
      <c r="PU6" s="17"/>
      <c r="PV6" s="17"/>
      <c r="PW6" s="17" t="s">
        <v>506</v>
      </c>
      <c r="PX6" s="17" t="s">
        <v>506</v>
      </c>
      <c r="PY6" s="17" t="s">
        <v>506</v>
      </c>
      <c r="PZ6" s="17" t="s">
        <v>506</v>
      </c>
      <c r="QA6" s="17" t="s">
        <v>506</v>
      </c>
      <c r="QB6" s="17" t="s">
        <v>507</v>
      </c>
      <c r="QC6" s="17" t="s">
        <v>507</v>
      </c>
      <c r="QD6" s="17" t="s">
        <v>506</v>
      </c>
      <c r="QE6" s="17" t="s">
        <v>507</v>
      </c>
      <c r="QF6" s="17" t="s">
        <v>506</v>
      </c>
      <c r="QG6" s="17" t="s">
        <v>506</v>
      </c>
      <c r="QH6" s="17" t="s">
        <v>508</v>
      </c>
      <c r="QI6" s="17">
        <v>1</v>
      </c>
      <c r="QJ6" s="17">
        <v>1</v>
      </c>
      <c r="QK6" s="17">
        <v>1</v>
      </c>
      <c r="QL6" s="17">
        <v>1</v>
      </c>
      <c r="QM6" s="17">
        <v>1</v>
      </c>
      <c r="QN6" s="17">
        <v>1</v>
      </c>
      <c r="QO6" s="17">
        <v>1</v>
      </c>
      <c r="QP6" s="17">
        <v>1</v>
      </c>
      <c r="QQ6" s="17">
        <v>1</v>
      </c>
      <c r="QR6" s="17">
        <v>1</v>
      </c>
      <c r="QS6" s="17">
        <v>1</v>
      </c>
      <c r="QT6" s="17">
        <v>1</v>
      </c>
      <c r="QU6" s="17">
        <v>1</v>
      </c>
      <c r="QV6" s="17">
        <v>1</v>
      </c>
      <c r="QW6" s="17">
        <v>1</v>
      </c>
      <c r="QX6" s="17">
        <v>1</v>
      </c>
      <c r="QY6" s="17">
        <v>1</v>
      </c>
      <c r="QZ6" s="17">
        <v>1</v>
      </c>
      <c r="RA6" s="17">
        <v>1</v>
      </c>
      <c r="RB6" s="17">
        <v>1</v>
      </c>
      <c r="RC6" s="17">
        <v>1</v>
      </c>
      <c r="RD6" s="17">
        <v>1</v>
      </c>
      <c r="RE6" s="17">
        <v>1</v>
      </c>
      <c r="RF6" s="17">
        <v>1</v>
      </c>
      <c r="RG6" s="17">
        <v>1</v>
      </c>
      <c r="RH6" s="17">
        <v>1</v>
      </c>
      <c r="RI6" s="17">
        <v>1</v>
      </c>
      <c r="RJ6" s="17">
        <v>1</v>
      </c>
      <c r="RK6" s="17">
        <v>1</v>
      </c>
      <c r="RL6" s="17">
        <v>1</v>
      </c>
      <c r="RM6" s="17">
        <v>1</v>
      </c>
      <c r="RN6" s="17">
        <v>1</v>
      </c>
      <c r="RO6" s="17">
        <v>1</v>
      </c>
      <c r="RP6" s="17">
        <v>1</v>
      </c>
      <c r="RQ6" s="17">
        <v>1</v>
      </c>
      <c r="RR6" s="17">
        <v>1</v>
      </c>
      <c r="RS6" s="17">
        <v>1</v>
      </c>
      <c r="RT6" s="17">
        <v>1</v>
      </c>
      <c r="RU6" s="17">
        <v>1</v>
      </c>
      <c r="RV6" s="17">
        <v>0</v>
      </c>
      <c r="RW6" s="17">
        <v>1</v>
      </c>
      <c r="RX6" s="17">
        <v>1</v>
      </c>
      <c r="RY6" s="17">
        <v>0</v>
      </c>
      <c r="RZ6" s="17">
        <v>1</v>
      </c>
      <c r="SA6" s="17">
        <v>1</v>
      </c>
      <c r="SB6" s="17">
        <v>1</v>
      </c>
      <c r="SC6" s="17">
        <v>0</v>
      </c>
      <c r="SD6" s="17">
        <v>0</v>
      </c>
      <c r="SE6" s="17">
        <v>1</v>
      </c>
      <c r="SF6" s="17">
        <v>1</v>
      </c>
      <c r="SG6" s="17">
        <v>1</v>
      </c>
      <c r="SH6" s="17">
        <v>1</v>
      </c>
      <c r="SI6" s="17">
        <v>10006</v>
      </c>
      <c r="SJ6" s="19">
        <f t="shared" si="3"/>
        <v>139</v>
      </c>
      <c r="SK6" s="19">
        <f t="shared" si="0"/>
        <v>204</v>
      </c>
      <c r="SL6" s="19">
        <f t="shared" si="1"/>
        <v>65</v>
      </c>
      <c r="SM6" s="9">
        <v>10006</v>
      </c>
      <c r="SN6" s="9" t="s">
        <v>509</v>
      </c>
      <c r="SO6" s="10">
        <v>2</v>
      </c>
      <c r="SP6" s="9">
        <v>3</v>
      </c>
      <c r="SQ6" s="11" t="s">
        <v>517</v>
      </c>
      <c r="SR6" s="9">
        <v>16</v>
      </c>
      <c r="SS6" s="28">
        <v>63</v>
      </c>
      <c r="ST6" s="28">
        <v>16</v>
      </c>
      <c r="SU6" s="28">
        <v>203</v>
      </c>
      <c r="SV6" s="28">
        <v>48</v>
      </c>
      <c r="SW6" s="28">
        <v>66</v>
      </c>
      <c r="SX6" s="28">
        <v>65</v>
      </c>
      <c r="SY6" s="29">
        <v>58</v>
      </c>
      <c r="SZ6" s="30">
        <v>95</v>
      </c>
      <c r="TA6" s="31">
        <v>24</v>
      </c>
      <c r="TB6" s="31">
        <v>55</v>
      </c>
    </row>
    <row r="7" spans="1:522" ht="15.75" customHeight="1" x14ac:dyDescent="0.2">
      <c r="A7" s="17">
        <v>10007</v>
      </c>
      <c r="B7" s="17" t="s">
        <v>501</v>
      </c>
      <c r="C7" s="17" t="s">
        <v>502</v>
      </c>
      <c r="D7" s="17" t="s">
        <v>503</v>
      </c>
      <c r="E7" s="17" t="s">
        <v>504</v>
      </c>
      <c r="F7" s="18">
        <v>37916</v>
      </c>
      <c r="G7" s="18">
        <v>38454</v>
      </c>
      <c r="H7" s="14">
        <f t="shared" si="2"/>
        <v>17</v>
      </c>
      <c r="I7" s="17" t="s">
        <v>505</v>
      </c>
      <c r="J7" s="17">
        <v>1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1</v>
      </c>
      <c r="R7" s="17">
        <v>1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7">
        <v>1</v>
      </c>
      <c r="Y7" s="17">
        <v>1</v>
      </c>
      <c r="Z7" s="17">
        <v>1</v>
      </c>
      <c r="AA7" s="17">
        <v>1</v>
      </c>
      <c r="AB7" s="17">
        <v>1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17">
        <v>1</v>
      </c>
      <c r="AJ7" s="17">
        <v>1</v>
      </c>
      <c r="AK7" s="17">
        <v>1</v>
      </c>
      <c r="AL7" s="17">
        <v>1</v>
      </c>
      <c r="AM7" s="17">
        <v>1</v>
      </c>
      <c r="AN7" s="17">
        <v>1</v>
      </c>
      <c r="AO7" s="17" t="s">
        <v>507</v>
      </c>
      <c r="AP7" s="17" t="s">
        <v>508</v>
      </c>
      <c r="AQ7" s="17">
        <v>2</v>
      </c>
      <c r="AR7" s="17"/>
      <c r="AS7" s="17"/>
      <c r="AT7" s="17"/>
      <c r="AU7" s="17">
        <v>2</v>
      </c>
      <c r="AV7" s="17">
        <v>1</v>
      </c>
      <c r="AW7" s="17">
        <v>1</v>
      </c>
      <c r="AX7" s="17">
        <v>1</v>
      </c>
      <c r="AY7" s="17">
        <v>1</v>
      </c>
      <c r="AZ7" s="17"/>
      <c r="BA7" s="17">
        <v>1</v>
      </c>
      <c r="BB7" s="17"/>
      <c r="BC7" s="17"/>
      <c r="BD7" s="17">
        <v>1</v>
      </c>
      <c r="BE7" s="17">
        <v>1</v>
      </c>
      <c r="BF7" s="17">
        <v>1</v>
      </c>
      <c r="BG7" s="17">
        <v>1</v>
      </c>
      <c r="BH7" s="17">
        <v>1</v>
      </c>
      <c r="BI7" s="17"/>
      <c r="BJ7" s="17">
        <v>2</v>
      </c>
      <c r="BK7" s="17">
        <v>1</v>
      </c>
      <c r="BL7" s="17">
        <v>1</v>
      </c>
      <c r="BM7" s="17"/>
      <c r="BN7" s="17">
        <v>2</v>
      </c>
      <c r="BO7" s="17"/>
      <c r="BP7" s="17">
        <v>2</v>
      </c>
      <c r="BQ7" s="17">
        <v>1</v>
      </c>
      <c r="BR7" s="17">
        <v>1</v>
      </c>
      <c r="BS7" s="17">
        <v>1</v>
      </c>
      <c r="BT7" s="17">
        <v>1</v>
      </c>
      <c r="BU7" s="17"/>
      <c r="BV7" s="17">
        <v>1</v>
      </c>
      <c r="BW7" s="17">
        <v>2</v>
      </c>
      <c r="BX7" s="17"/>
      <c r="BY7" s="17">
        <v>1</v>
      </c>
      <c r="BZ7" s="17">
        <v>1</v>
      </c>
      <c r="CA7" s="17">
        <v>1</v>
      </c>
      <c r="CB7" s="17">
        <v>1</v>
      </c>
      <c r="CC7" s="17"/>
      <c r="CD7" s="17">
        <v>1</v>
      </c>
      <c r="CE7" s="17"/>
      <c r="CF7" s="17">
        <v>1</v>
      </c>
      <c r="CG7" s="17">
        <v>1</v>
      </c>
      <c r="CH7" s="17"/>
      <c r="CI7" s="17">
        <v>1</v>
      </c>
      <c r="CJ7" s="17">
        <v>1</v>
      </c>
      <c r="CK7" s="17">
        <v>1</v>
      </c>
      <c r="CL7" s="17">
        <v>1</v>
      </c>
      <c r="CM7" s="17">
        <v>1</v>
      </c>
      <c r="CN7" s="17"/>
      <c r="CO7" s="17"/>
      <c r="CP7" s="17">
        <v>1</v>
      </c>
      <c r="CQ7" s="17"/>
      <c r="CR7" s="17"/>
      <c r="CS7" s="17">
        <v>1</v>
      </c>
      <c r="CT7" s="17">
        <v>1</v>
      </c>
      <c r="CU7" s="17"/>
      <c r="CV7" s="17">
        <v>2</v>
      </c>
      <c r="CW7" s="17"/>
      <c r="CX7" s="17">
        <v>1</v>
      </c>
      <c r="CY7" s="17">
        <v>1</v>
      </c>
      <c r="CZ7" s="17">
        <v>1</v>
      </c>
      <c r="DA7" s="17"/>
      <c r="DB7" s="17"/>
      <c r="DC7" s="17">
        <v>1</v>
      </c>
      <c r="DD7" s="17">
        <v>2</v>
      </c>
      <c r="DE7" s="17">
        <v>1</v>
      </c>
      <c r="DF7" s="17">
        <v>1</v>
      </c>
      <c r="DG7" s="17"/>
      <c r="DH7" s="17">
        <v>1</v>
      </c>
      <c r="DI7" s="17"/>
      <c r="DJ7" s="17">
        <v>1</v>
      </c>
      <c r="DK7" s="17">
        <v>1</v>
      </c>
      <c r="DL7" s="17">
        <v>1</v>
      </c>
      <c r="DM7" s="17">
        <v>1</v>
      </c>
      <c r="DN7" s="17">
        <v>1</v>
      </c>
      <c r="DO7" s="17"/>
      <c r="DP7" s="17">
        <v>1</v>
      </c>
      <c r="DQ7" s="17">
        <v>1</v>
      </c>
      <c r="DR7" s="17">
        <v>1</v>
      </c>
      <c r="DS7" s="17">
        <v>1</v>
      </c>
      <c r="DT7" s="17">
        <v>1</v>
      </c>
      <c r="DU7" s="17">
        <v>1</v>
      </c>
      <c r="DV7" s="17">
        <v>1</v>
      </c>
      <c r="DW7" s="17">
        <v>1</v>
      </c>
      <c r="DX7" s="17"/>
      <c r="DY7" s="17">
        <v>1</v>
      </c>
      <c r="DZ7" s="17"/>
      <c r="EA7" s="17"/>
      <c r="EB7" s="17">
        <v>1</v>
      </c>
      <c r="EC7" s="17"/>
      <c r="ED7" s="17"/>
      <c r="EE7" s="17">
        <v>1</v>
      </c>
      <c r="EF7" s="17">
        <v>1</v>
      </c>
      <c r="EG7" s="17">
        <v>1</v>
      </c>
      <c r="EH7" s="17"/>
      <c r="EI7" s="17">
        <v>1</v>
      </c>
      <c r="EJ7" s="17"/>
      <c r="EK7" s="17"/>
      <c r="EL7" s="17">
        <v>1</v>
      </c>
      <c r="EM7" s="17">
        <v>2</v>
      </c>
      <c r="EN7" s="17"/>
      <c r="EO7" s="17">
        <v>1</v>
      </c>
      <c r="EP7" s="17">
        <v>1</v>
      </c>
      <c r="EQ7" s="17"/>
      <c r="ER7" s="17"/>
      <c r="ES7" s="17">
        <v>1</v>
      </c>
      <c r="ET7" s="17">
        <v>1</v>
      </c>
      <c r="EU7" s="17">
        <v>1</v>
      </c>
      <c r="EV7" s="17">
        <v>1</v>
      </c>
      <c r="EW7" s="17"/>
      <c r="EX7" s="17">
        <v>1</v>
      </c>
      <c r="EY7" s="17"/>
      <c r="EZ7" s="17">
        <v>1</v>
      </c>
      <c r="FA7" s="17">
        <v>1</v>
      </c>
      <c r="FB7" s="17">
        <v>1</v>
      </c>
      <c r="FC7" s="17"/>
      <c r="FD7" s="17">
        <v>1</v>
      </c>
      <c r="FE7" s="17">
        <v>1</v>
      </c>
      <c r="FF7" s="17">
        <v>1</v>
      </c>
      <c r="FG7" s="17">
        <v>1</v>
      </c>
      <c r="FH7" s="17"/>
      <c r="FI7" s="17">
        <v>1</v>
      </c>
      <c r="FJ7" s="17"/>
      <c r="FK7" s="17">
        <v>1</v>
      </c>
      <c r="FL7" s="17"/>
      <c r="FM7" s="17">
        <v>1</v>
      </c>
      <c r="FN7" s="17">
        <v>1</v>
      </c>
      <c r="FO7" s="17">
        <v>1</v>
      </c>
      <c r="FP7" s="17"/>
      <c r="FQ7" s="17">
        <v>1</v>
      </c>
      <c r="FR7" s="17">
        <v>1</v>
      </c>
      <c r="FS7" s="17"/>
      <c r="FT7" s="17">
        <v>1</v>
      </c>
      <c r="FU7" s="17">
        <v>1</v>
      </c>
      <c r="FV7" s="17">
        <v>1</v>
      </c>
      <c r="FW7" s="17">
        <v>1</v>
      </c>
      <c r="FX7" s="17">
        <v>1</v>
      </c>
      <c r="FY7" s="17">
        <v>1</v>
      </c>
      <c r="FZ7" s="17">
        <v>1</v>
      </c>
      <c r="GA7" s="17">
        <v>1</v>
      </c>
      <c r="GB7" s="17">
        <v>1</v>
      </c>
      <c r="GC7" s="17">
        <v>1</v>
      </c>
      <c r="GD7" s="17">
        <v>1</v>
      </c>
      <c r="GE7" s="17">
        <v>1</v>
      </c>
      <c r="GF7" s="17"/>
      <c r="GG7" s="17">
        <v>1</v>
      </c>
      <c r="GH7" s="17"/>
      <c r="GI7" s="17">
        <v>2</v>
      </c>
      <c r="GJ7" s="17"/>
      <c r="GK7" s="17">
        <v>2</v>
      </c>
      <c r="GL7" s="17">
        <v>1</v>
      </c>
      <c r="GM7" s="17"/>
      <c r="GN7" s="17">
        <v>1</v>
      </c>
      <c r="GO7" s="17"/>
      <c r="GP7" s="17"/>
      <c r="GQ7" s="17">
        <v>1</v>
      </c>
      <c r="GR7" s="17">
        <v>1</v>
      </c>
      <c r="GS7" s="17">
        <v>1</v>
      </c>
      <c r="GT7" s="17"/>
      <c r="GU7" s="17">
        <v>1</v>
      </c>
      <c r="GV7" s="17"/>
      <c r="GW7" s="17"/>
      <c r="GX7" s="17">
        <v>1</v>
      </c>
      <c r="GY7" s="17"/>
      <c r="GZ7" s="17">
        <v>1</v>
      </c>
      <c r="HA7" s="17"/>
      <c r="HB7" s="17"/>
      <c r="HC7" s="17"/>
      <c r="HD7" s="17"/>
      <c r="HE7" s="17">
        <v>1</v>
      </c>
      <c r="HF7" s="17">
        <v>1</v>
      </c>
      <c r="HG7" s="17">
        <v>1</v>
      </c>
      <c r="HH7" s="17">
        <v>1</v>
      </c>
      <c r="HI7" s="17">
        <v>1</v>
      </c>
      <c r="HJ7" s="17">
        <v>1</v>
      </c>
      <c r="HK7" s="17"/>
      <c r="HL7" s="17">
        <v>1</v>
      </c>
      <c r="HM7" s="17">
        <v>1</v>
      </c>
      <c r="HN7" s="17"/>
      <c r="HO7" s="17">
        <v>1</v>
      </c>
      <c r="HP7" s="17">
        <v>1</v>
      </c>
      <c r="HQ7" s="17">
        <v>1</v>
      </c>
      <c r="HR7" s="17">
        <v>1</v>
      </c>
      <c r="HS7" s="17"/>
      <c r="HT7" s="17"/>
      <c r="HU7" s="17">
        <v>1</v>
      </c>
      <c r="HV7" s="17">
        <v>1</v>
      </c>
      <c r="HW7" s="17"/>
      <c r="HX7" s="17">
        <v>1</v>
      </c>
      <c r="HY7" s="17"/>
      <c r="HZ7" s="17">
        <v>1</v>
      </c>
      <c r="IA7" s="17">
        <v>1</v>
      </c>
      <c r="IB7" s="17">
        <v>1</v>
      </c>
      <c r="IC7" s="17"/>
      <c r="ID7" s="17"/>
      <c r="IE7" s="17"/>
      <c r="IF7" s="17">
        <v>1</v>
      </c>
      <c r="IG7" s="17"/>
      <c r="IH7" s="17">
        <v>1</v>
      </c>
      <c r="II7" s="17"/>
      <c r="IJ7" s="17"/>
      <c r="IK7" s="17">
        <v>1</v>
      </c>
      <c r="IL7" s="17">
        <v>1</v>
      </c>
      <c r="IM7" s="17"/>
      <c r="IN7" s="17"/>
      <c r="IO7" s="17"/>
      <c r="IP7" s="17"/>
      <c r="IQ7" s="17"/>
      <c r="IR7" s="17"/>
      <c r="IS7" s="17">
        <v>2</v>
      </c>
      <c r="IT7" s="17"/>
      <c r="IU7" s="17"/>
      <c r="IV7" s="17"/>
      <c r="IW7" s="17"/>
      <c r="IX7" s="17"/>
      <c r="IY7" s="17"/>
      <c r="IZ7" s="17">
        <v>1</v>
      </c>
      <c r="JA7" s="17"/>
      <c r="JB7" s="17"/>
      <c r="JC7" s="17"/>
      <c r="JD7" s="17">
        <v>1</v>
      </c>
      <c r="JE7" s="17">
        <v>2</v>
      </c>
      <c r="JF7" s="17"/>
      <c r="JG7" s="17"/>
      <c r="JH7" s="17"/>
      <c r="JI7" s="17"/>
      <c r="JJ7" s="17"/>
      <c r="JK7" s="17">
        <v>2</v>
      </c>
      <c r="JL7" s="17">
        <v>1</v>
      </c>
      <c r="JM7" s="17"/>
      <c r="JN7" s="17"/>
      <c r="JO7" s="17"/>
      <c r="JP7" s="17"/>
      <c r="JQ7" s="17">
        <v>2</v>
      </c>
      <c r="JR7" s="17">
        <v>1</v>
      </c>
      <c r="JS7" s="17"/>
      <c r="JT7" s="17"/>
      <c r="JU7" s="17"/>
      <c r="JV7" s="17"/>
      <c r="JW7" s="17"/>
      <c r="JX7" s="17">
        <v>2</v>
      </c>
      <c r="JY7" s="17">
        <v>1</v>
      </c>
      <c r="JZ7" s="17">
        <v>1</v>
      </c>
      <c r="KA7" s="17">
        <v>1</v>
      </c>
      <c r="KB7" s="17">
        <v>1</v>
      </c>
      <c r="KC7" s="17"/>
      <c r="KD7" s="17">
        <v>2</v>
      </c>
      <c r="KE7" s="17">
        <v>1</v>
      </c>
      <c r="KF7" s="17">
        <v>1</v>
      </c>
      <c r="KG7" s="17">
        <v>1</v>
      </c>
      <c r="KH7" s="17">
        <v>1</v>
      </c>
      <c r="KI7" s="17">
        <v>1</v>
      </c>
      <c r="KJ7" s="17">
        <v>2</v>
      </c>
      <c r="KK7" s="17"/>
      <c r="KL7" s="17"/>
      <c r="KM7" s="17">
        <v>1</v>
      </c>
      <c r="KN7" s="17">
        <v>1</v>
      </c>
      <c r="KO7" s="17"/>
      <c r="KP7" s="17">
        <v>1</v>
      </c>
      <c r="KQ7" s="17">
        <v>1</v>
      </c>
      <c r="KR7" s="17">
        <v>1</v>
      </c>
      <c r="KS7" s="17"/>
      <c r="KT7" s="17">
        <v>1</v>
      </c>
      <c r="KU7" s="17"/>
      <c r="KV7" s="17">
        <v>1</v>
      </c>
      <c r="KW7" s="17">
        <v>1</v>
      </c>
      <c r="KX7" s="17"/>
      <c r="KY7" s="17">
        <v>1</v>
      </c>
      <c r="KZ7" s="17"/>
      <c r="LA7" s="17">
        <v>1</v>
      </c>
      <c r="LB7" s="17"/>
      <c r="LC7" s="17">
        <v>1</v>
      </c>
      <c r="LD7" s="17">
        <v>1</v>
      </c>
      <c r="LE7" s="17"/>
      <c r="LF7" s="17"/>
      <c r="LG7" s="17">
        <v>1</v>
      </c>
      <c r="LH7" s="17">
        <v>1</v>
      </c>
      <c r="LI7" s="17">
        <v>1</v>
      </c>
      <c r="LJ7" s="17">
        <v>1</v>
      </c>
      <c r="LK7" s="17"/>
      <c r="LL7" s="17">
        <v>1</v>
      </c>
      <c r="LM7" s="17"/>
      <c r="LN7" s="17"/>
      <c r="LO7" s="17">
        <v>1</v>
      </c>
      <c r="LP7" s="17">
        <v>1</v>
      </c>
      <c r="LQ7" s="17">
        <v>1</v>
      </c>
      <c r="LR7" s="17"/>
      <c r="LS7" s="17">
        <v>1</v>
      </c>
      <c r="LT7" s="17"/>
      <c r="LU7" s="17">
        <v>1</v>
      </c>
      <c r="LV7" s="17">
        <v>1</v>
      </c>
      <c r="LW7" s="17">
        <v>1</v>
      </c>
      <c r="LX7" s="17"/>
      <c r="LY7" s="17">
        <v>1</v>
      </c>
      <c r="LZ7" s="17"/>
      <c r="MA7" s="17">
        <v>1</v>
      </c>
      <c r="MB7" s="17">
        <v>1</v>
      </c>
      <c r="MC7" s="17">
        <v>1</v>
      </c>
      <c r="MD7" s="17"/>
      <c r="ME7" s="17">
        <v>1</v>
      </c>
      <c r="MF7" s="17">
        <v>1</v>
      </c>
      <c r="MG7" s="17">
        <v>1</v>
      </c>
      <c r="MH7" s="17"/>
      <c r="MI7" s="17"/>
      <c r="MJ7" s="17">
        <v>1</v>
      </c>
      <c r="MK7" s="17"/>
      <c r="ML7" s="17">
        <v>1</v>
      </c>
      <c r="MM7" s="17">
        <v>1</v>
      </c>
      <c r="MN7" s="17">
        <v>1</v>
      </c>
      <c r="MO7" s="17"/>
      <c r="MP7" s="17">
        <v>1</v>
      </c>
      <c r="MQ7" s="17">
        <v>1</v>
      </c>
      <c r="MR7" s="17">
        <v>1</v>
      </c>
      <c r="MS7" s="17"/>
      <c r="MT7" s="17">
        <v>1</v>
      </c>
      <c r="MU7" s="17">
        <v>1</v>
      </c>
      <c r="MV7" s="17"/>
      <c r="MW7" s="17">
        <v>1</v>
      </c>
      <c r="MX7" s="17">
        <v>1</v>
      </c>
      <c r="MY7" s="17"/>
      <c r="MZ7" s="17"/>
      <c r="NA7" s="17"/>
      <c r="NB7" s="17">
        <v>1</v>
      </c>
      <c r="NC7" s="17">
        <v>1</v>
      </c>
      <c r="ND7" s="17"/>
      <c r="NE7" s="17">
        <v>1</v>
      </c>
      <c r="NF7" s="17"/>
      <c r="NG7" s="17"/>
      <c r="NH7" s="17">
        <v>1</v>
      </c>
      <c r="NI7" s="17">
        <v>1</v>
      </c>
      <c r="NJ7" s="17">
        <v>1</v>
      </c>
      <c r="NK7" s="17"/>
      <c r="NL7" s="17"/>
      <c r="NM7" s="17">
        <v>1</v>
      </c>
      <c r="NN7" s="17">
        <v>1</v>
      </c>
      <c r="NO7" s="17"/>
      <c r="NP7" s="17"/>
      <c r="NQ7" s="17"/>
      <c r="NR7" s="17">
        <v>1</v>
      </c>
      <c r="NS7" s="17"/>
      <c r="NT7" s="17"/>
      <c r="NU7" s="17"/>
      <c r="NV7" s="17">
        <v>1</v>
      </c>
      <c r="NW7" s="17">
        <v>1</v>
      </c>
      <c r="NX7" s="17"/>
      <c r="NY7" s="17"/>
      <c r="NZ7" s="17"/>
      <c r="OA7" s="17"/>
      <c r="OB7" s="17"/>
      <c r="OC7" s="17"/>
      <c r="OD7" s="17"/>
      <c r="OE7" s="17"/>
      <c r="OF7" s="17"/>
      <c r="OG7" s="17">
        <v>1</v>
      </c>
      <c r="OH7" s="17">
        <v>1</v>
      </c>
      <c r="OI7" s="17">
        <v>1</v>
      </c>
      <c r="OJ7" s="17">
        <v>1</v>
      </c>
      <c r="OK7" s="17">
        <v>1</v>
      </c>
      <c r="OL7" s="17">
        <v>1</v>
      </c>
      <c r="OM7" s="17"/>
      <c r="ON7" s="17"/>
      <c r="OO7" s="17"/>
      <c r="OP7" s="17">
        <v>1</v>
      </c>
      <c r="OQ7" s="17"/>
      <c r="OR7" s="17">
        <v>1</v>
      </c>
      <c r="OS7" s="17"/>
      <c r="OT7" s="17">
        <v>1</v>
      </c>
      <c r="OU7" s="17"/>
      <c r="OV7" s="17">
        <v>1</v>
      </c>
      <c r="OW7" s="17"/>
      <c r="OX7" s="17"/>
      <c r="OY7" s="17"/>
      <c r="OZ7" s="17"/>
      <c r="PA7" s="17">
        <v>1</v>
      </c>
      <c r="PB7" s="17"/>
      <c r="PC7" s="17"/>
      <c r="PD7" s="17"/>
      <c r="PE7" s="17">
        <v>1</v>
      </c>
      <c r="PF7" s="17">
        <v>1</v>
      </c>
      <c r="PG7" s="17">
        <v>1</v>
      </c>
      <c r="PH7" s="17"/>
      <c r="PI7" s="17">
        <v>1</v>
      </c>
      <c r="PJ7" s="17">
        <v>1</v>
      </c>
      <c r="PK7" s="17">
        <v>2</v>
      </c>
      <c r="PL7" s="17">
        <v>1</v>
      </c>
      <c r="PM7" s="17">
        <v>1</v>
      </c>
      <c r="PN7" s="17">
        <v>1</v>
      </c>
      <c r="PO7" s="17"/>
      <c r="PP7" s="17"/>
      <c r="PQ7" s="17"/>
      <c r="PR7" s="17"/>
      <c r="PS7" s="17"/>
      <c r="PT7" s="17"/>
      <c r="PU7" s="17"/>
      <c r="PV7" s="17"/>
      <c r="PW7" s="17"/>
      <c r="PX7" s="17" t="s">
        <v>506</v>
      </c>
      <c r="PY7" s="17" t="s">
        <v>506</v>
      </c>
      <c r="PZ7" s="17" t="s">
        <v>506</v>
      </c>
      <c r="QA7" s="17" t="s">
        <v>506</v>
      </c>
      <c r="QB7" s="17" t="s">
        <v>506</v>
      </c>
      <c r="QC7" s="17" t="s">
        <v>508</v>
      </c>
      <c r="QD7" s="17" t="s">
        <v>507</v>
      </c>
      <c r="QE7" s="17" t="s">
        <v>507</v>
      </c>
      <c r="QF7" s="17" t="s">
        <v>507</v>
      </c>
      <c r="QG7" s="17" t="s">
        <v>507</v>
      </c>
      <c r="QH7" s="17" t="s">
        <v>507</v>
      </c>
      <c r="QI7" s="17">
        <v>1</v>
      </c>
      <c r="QJ7" s="17">
        <v>1</v>
      </c>
      <c r="QK7" s="17">
        <v>1</v>
      </c>
      <c r="QL7" s="17">
        <v>1</v>
      </c>
      <c r="QM7" s="17">
        <v>1</v>
      </c>
      <c r="QN7" s="17">
        <v>1</v>
      </c>
      <c r="QO7" s="17">
        <v>1</v>
      </c>
      <c r="QP7" s="17">
        <v>1</v>
      </c>
      <c r="QQ7" s="17">
        <v>1</v>
      </c>
      <c r="QR7" s="17">
        <v>1</v>
      </c>
      <c r="QS7" s="17">
        <v>1</v>
      </c>
      <c r="QT7" s="17">
        <v>1</v>
      </c>
      <c r="QU7" s="17">
        <v>1</v>
      </c>
      <c r="QV7" s="17">
        <v>1</v>
      </c>
      <c r="QW7" s="17">
        <v>1</v>
      </c>
      <c r="QX7" s="17">
        <v>0</v>
      </c>
      <c r="QY7" s="17">
        <v>0</v>
      </c>
      <c r="QZ7" s="17">
        <v>1</v>
      </c>
      <c r="RA7" s="17">
        <v>0</v>
      </c>
      <c r="RB7" s="17">
        <v>1</v>
      </c>
      <c r="RC7" s="17">
        <v>1</v>
      </c>
      <c r="RD7" s="17">
        <v>0</v>
      </c>
      <c r="RE7" s="17">
        <v>0</v>
      </c>
      <c r="RF7" s="17">
        <v>0</v>
      </c>
      <c r="RG7" s="17">
        <v>0</v>
      </c>
      <c r="RH7" s="17">
        <v>0</v>
      </c>
      <c r="RI7" s="17">
        <v>0</v>
      </c>
      <c r="RJ7" s="17">
        <v>0</v>
      </c>
      <c r="RK7" s="17">
        <v>1</v>
      </c>
      <c r="RL7" s="17">
        <v>0</v>
      </c>
      <c r="RM7" s="17">
        <v>0</v>
      </c>
      <c r="RN7" s="17">
        <v>1</v>
      </c>
      <c r="RO7" s="17">
        <v>0</v>
      </c>
      <c r="RP7" s="17">
        <v>0</v>
      </c>
      <c r="RQ7" s="17">
        <v>0</v>
      </c>
      <c r="RR7" s="17">
        <v>0</v>
      </c>
      <c r="RS7" s="17">
        <v>1</v>
      </c>
      <c r="RT7" s="17">
        <v>1</v>
      </c>
      <c r="RU7" s="17">
        <v>1</v>
      </c>
      <c r="RV7" s="17">
        <v>0</v>
      </c>
      <c r="RW7" s="17">
        <v>1</v>
      </c>
      <c r="RX7" s="17">
        <v>1</v>
      </c>
      <c r="RY7" s="17">
        <v>0</v>
      </c>
      <c r="RZ7" s="17">
        <v>0</v>
      </c>
      <c r="SA7" s="17">
        <v>1</v>
      </c>
      <c r="SB7" s="17">
        <v>1</v>
      </c>
      <c r="SC7" s="17">
        <v>0</v>
      </c>
      <c r="SD7" s="17">
        <v>1</v>
      </c>
      <c r="SE7" s="17">
        <v>1</v>
      </c>
      <c r="SF7" s="17">
        <v>0</v>
      </c>
      <c r="SG7" s="17">
        <v>1</v>
      </c>
      <c r="SH7" s="17"/>
      <c r="SI7" s="17">
        <v>10007</v>
      </c>
      <c r="SJ7" s="19">
        <f t="shared" si="3"/>
        <v>208</v>
      </c>
      <c r="SK7" s="19">
        <f t="shared" si="0"/>
        <v>227</v>
      </c>
      <c r="SL7" s="19">
        <f t="shared" si="1"/>
        <v>19</v>
      </c>
      <c r="SM7" s="9">
        <v>10007</v>
      </c>
      <c r="SN7" s="9" t="s">
        <v>504</v>
      </c>
      <c r="SO7" s="10">
        <v>1</v>
      </c>
      <c r="SP7" s="9">
        <v>1</v>
      </c>
      <c r="SQ7" s="13" t="s">
        <v>517</v>
      </c>
      <c r="SR7" s="9">
        <v>16</v>
      </c>
      <c r="SS7" s="28">
        <v>55.5</v>
      </c>
      <c r="ST7" s="28">
        <v>17</v>
      </c>
      <c r="SU7" s="28">
        <v>224</v>
      </c>
      <c r="SV7" s="28">
        <v>58</v>
      </c>
      <c r="SW7" s="28">
        <v>22</v>
      </c>
      <c r="SX7" s="28">
        <v>20</v>
      </c>
      <c r="SY7" s="29">
        <v>41</v>
      </c>
      <c r="SZ7" s="30">
        <v>40</v>
      </c>
      <c r="TA7" s="31">
        <v>28</v>
      </c>
      <c r="TB7" s="31">
        <v>99</v>
      </c>
    </row>
    <row r="8" spans="1:522" ht="15.75" customHeight="1" x14ac:dyDescent="0.2">
      <c r="A8" s="17">
        <v>10008</v>
      </c>
      <c r="B8" s="17" t="s">
        <v>501</v>
      </c>
      <c r="C8" s="17" t="s">
        <v>502</v>
      </c>
      <c r="D8" s="17" t="s">
        <v>503</v>
      </c>
      <c r="E8" s="17" t="s">
        <v>504</v>
      </c>
      <c r="F8" s="18">
        <v>37944</v>
      </c>
      <c r="G8" s="18">
        <v>38483</v>
      </c>
      <c r="H8" s="14">
        <f t="shared" si="2"/>
        <v>17</v>
      </c>
      <c r="I8" s="17" t="s">
        <v>505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  <c r="O8" s="17"/>
      <c r="P8" s="17"/>
      <c r="Q8" s="17">
        <v>1</v>
      </c>
      <c r="R8" s="17">
        <v>1</v>
      </c>
      <c r="S8" s="17">
        <v>1</v>
      </c>
      <c r="T8" s="17">
        <v>1</v>
      </c>
      <c r="U8" s="17">
        <v>1</v>
      </c>
      <c r="V8" s="17">
        <v>1</v>
      </c>
      <c r="W8" s="17"/>
      <c r="X8" s="17">
        <v>1</v>
      </c>
      <c r="Y8" s="17">
        <v>1</v>
      </c>
      <c r="Z8" s="17">
        <v>1</v>
      </c>
      <c r="AA8" s="17">
        <v>1</v>
      </c>
      <c r="AB8" s="17">
        <v>1</v>
      </c>
      <c r="AC8" s="17">
        <v>1</v>
      </c>
      <c r="AD8" s="17"/>
      <c r="AE8" s="17">
        <v>1</v>
      </c>
      <c r="AF8" s="17">
        <v>1</v>
      </c>
      <c r="AG8" s="17"/>
      <c r="AH8" s="17">
        <v>1</v>
      </c>
      <c r="AI8" s="17"/>
      <c r="AJ8" s="17">
        <v>1</v>
      </c>
      <c r="AK8" s="17">
        <v>1</v>
      </c>
      <c r="AL8" s="17">
        <v>1</v>
      </c>
      <c r="AM8" s="17">
        <v>1</v>
      </c>
      <c r="AN8" s="17"/>
      <c r="AO8" s="17" t="s">
        <v>507</v>
      </c>
      <c r="AP8" s="17" t="s">
        <v>507</v>
      </c>
      <c r="AQ8" s="17"/>
      <c r="AR8" s="17"/>
      <c r="AS8" s="17"/>
      <c r="AT8" s="17"/>
      <c r="AU8" s="17"/>
      <c r="AV8" s="17"/>
      <c r="AW8" s="17"/>
      <c r="AX8" s="17"/>
      <c r="AY8" s="17"/>
      <c r="AZ8" s="17">
        <v>2</v>
      </c>
      <c r="BA8" s="17"/>
      <c r="BB8" s="17">
        <v>2</v>
      </c>
      <c r="BC8" s="17"/>
      <c r="BD8" s="17"/>
      <c r="BE8" s="17"/>
      <c r="BF8" s="17"/>
      <c r="BG8" s="17"/>
      <c r="BH8" s="17"/>
      <c r="BI8" s="17"/>
      <c r="BJ8" s="17">
        <v>1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>
        <v>1</v>
      </c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>
        <v>1</v>
      </c>
      <c r="CQ8" s="17"/>
      <c r="CR8" s="17"/>
      <c r="CS8" s="17">
        <v>1</v>
      </c>
      <c r="CT8" s="17"/>
      <c r="CU8" s="17"/>
      <c r="CV8" s="17">
        <v>2</v>
      </c>
      <c r="CW8" s="17"/>
      <c r="CX8" s="17"/>
      <c r="CY8" s="17">
        <v>1</v>
      </c>
      <c r="CZ8" s="17">
        <v>1</v>
      </c>
      <c r="DA8" s="17"/>
      <c r="DB8" s="17">
        <v>1</v>
      </c>
      <c r="DC8" s="17">
        <v>1</v>
      </c>
      <c r="DD8" s="17">
        <v>2</v>
      </c>
      <c r="DE8" s="17">
        <v>1</v>
      </c>
      <c r="DF8" s="17">
        <v>1</v>
      </c>
      <c r="DG8" s="17"/>
      <c r="DH8" s="17">
        <v>1</v>
      </c>
      <c r="DI8" s="17"/>
      <c r="DJ8" s="17"/>
      <c r="DK8" s="17"/>
      <c r="DL8" s="17"/>
      <c r="DM8" s="17"/>
      <c r="DN8" s="17">
        <v>1</v>
      </c>
      <c r="DO8" s="17"/>
      <c r="DP8" s="17">
        <v>1</v>
      </c>
      <c r="DQ8" s="17">
        <v>1</v>
      </c>
      <c r="DR8" s="17">
        <v>1</v>
      </c>
      <c r="DS8" s="17"/>
      <c r="DT8" s="17"/>
      <c r="DU8" s="17">
        <v>1</v>
      </c>
      <c r="DV8" s="17"/>
      <c r="DW8" s="17">
        <v>1</v>
      </c>
      <c r="DX8" s="17"/>
      <c r="DY8" s="17">
        <v>1</v>
      </c>
      <c r="DZ8" s="17">
        <v>1</v>
      </c>
      <c r="EA8" s="17"/>
      <c r="EB8" s="17"/>
      <c r="EC8" s="17"/>
      <c r="ED8" s="17"/>
      <c r="EE8" s="17"/>
      <c r="EF8" s="17">
        <v>1</v>
      </c>
      <c r="EG8" s="17">
        <v>1</v>
      </c>
      <c r="EH8" s="17"/>
      <c r="EI8" s="17"/>
      <c r="EJ8" s="17"/>
      <c r="EK8" s="17"/>
      <c r="EL8" s="17">
        <v>2</v>
      </c>
      <c r="EM8" s="17"/>
      <c r="EN8" s="17">
        <v>1</v>
      </c>
      <c r="EO8" s="17"/>
      <c r="EP8" s="17">
        <v>1</v>
      </c>
      <c r="EQ8" s="17"/>
      <c r="ER8" s="17"/>
      <c r="ES8" s="17">
        <v>1</v>
      </c>
      <c r="ET8" s="17"/>
      <c r="EU8" s="17">
        <v>1</v>
      </c>
      <c r="EV8" s="17">
        <v>1</v>
      </c>
      <c r="EW8" s="17"/>
      <c r="EX8" s="17">
        <v>1</v>
      </c>
      <c r="EY8" s="17"/>
      <c r="EZ8" s="17"/>
      <c r="FA8" s="17"/>
      <c r="FB8" s="17">
        <v>1</v>
      </c>
      <c r="FC8" s="17"/>
      <c r="FD8" s="17">
        <v>1</v>
      </c>
      <c r="FE8" s="17">
        <v>1</v>
      </c>
      <c r="FF8" s="17"/>
      <c r="FG8" s="17"/>
      <c r="FH8" s="17"/>
      <c r="FI8" s="17">
        <v>1</v>
      </c>
      <c r="FJ8" s="17"/>
      <c r="FK8" s="17"/>
      <c r="FL8" s="17">
        <v>1</v>
      </c>
      <c r="FM8" s="17"/>
      <c r="FN8" s="17"/>
      <c r="FO8" s="17">
        <v>1</v>
      </c>
      <c r="FP8" s="17"/>
      <c r="FQ8" s="17">
        <v>1</v>
      </c>
      <c r="FR8" s="17"/>
      <c r="FS8" s="17"/>
      <c r="FT8" s="17">
        <v>1</v>
      </c>
      <c r="FU8" s="17">
        <v>1</v>
      </c>
      <c r="FV8" s="17">
        <v>1</v>
      </c>
      <c r="FW8" s="17"/>
      <c r="FX8" s="17"/>
      <c r="FY8" s="17">
        <v>1</v>
      </c>
      <c r="FZ8" s="17">
        <v>1</v>
      </c>
      <c r="GA8" s="17"/>
      <c r="GB8" s="17"/>
      <c r="GC8" s="17">
        <v>1</v>
      </c>
      <c r="GD8" s="17"/>
      <c r="GE8" s="17">
        <v>1</v>
      </c>
      <c r="GF8" s="17"/>
      <c r="GG8" s="17">
        <v>1</v>
      </c>
      <c r="GH8" s="17"/>
      <c r="GI8" s="17">
        <v>1</v>
      </c>
      <c r="GJ8" s="17"/>
      <c r="GK8" s="17">
        <v>1</v>
      </c>
      <c r="GL8" s="17"/>
      <c r="GM8" s="17"/>
      <c r="GN8" s="17">
        <v>1</v>
      </c>
      <c r="GO8" s="17"/>
      <c r="GP8" s="17"/>
      <c r="GQ8" s="17"/>
      <c r="GR8" s="17"/>
      <c r="GS8" s="17"/>
      <c r="GT8" s="17">
        <v>1</v>
      </c>
      <c r="GU8" s="17"/>
      <c r="GV8" s="17"/>
      <c r="GW8" s="17"/>
      <c r="GX8" s="17">
        <v>1</v>
      </c>
      <c r="GY8" s="17">
        <v>1</v>
      </c>
      <c r="GZ8" s="17">
        <v>1</v>
      </c>
      <c r="HA8" s="17"/>
      <c r="HB8" s="17">
        <v>1</v>
      </c>
      <c r="HC8" s="17">
        <v>1</v>
      </c>
      <c r="HD8" s="17">
        <v>1</v>
      </c>
      <c r="HE8" s="17">
        <v>1</v>
      </c>
      <c r="HF8" s="17"/>
      <c r="HG8" s="17">
        <v>1</v>
      </c>
      <c r="HH8" s="17"/>
      <c r="HI8" s="17"/>
      <c r="HJ8" s="17">
        <v>1</v>
      </c>
      <c r="HK8" s="17"/>
      <c r="HL8" s="17"/>
      <c r="HM8" s="17"/>
      <c r="HN8" s="17"/>
      <c r="HO8" s="17"/>
      <c r="HP8" s="17">
        <v>1</v>
      </c>
      <c r="HQ8" s="17"/>
      <c r="HR8" s="17"/>
      <c r="HS8" s="17"/>
      <c r="HT8" s="17"/>
      <c r="HU8" s="17">
        <v>1</v>
      </c>
      <c r="HV8" s="17"/>
      <c r="HW8" s="17"/>
      <c r="HX8" s="17"/>
      <c r="HY8" s="17"/>
      <c r="HZ8" s="17"/>
      <c r="IA8" s="17">
        <v>1</v>
      </c>
      <c r="IB8" s="17"/>
      <c r="IC8" s="17"/>
      <c r="ID8" s="17"/>
      <c r="IE8" s="17"/>
      <c r="IF8" s="17"/>
      <c r="IG8" s="17"/>
      <c r="IH8" s="17">
        <v>1</v>
      </c>
      <c r="II8" s="17"/>
      <c r="IJ8" s="17"/>
      <c r="IK8" s="17">
        <v>1</v>
      </c>
      <c r="IL8" s="17">
        <v>1</v>
      </c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>
        <v>1</v>
      </c>
      <c r="IZ8" s="17"/>
      <c r="JA8" s="17"/>
      <c r="JB8" s="17"/>
      <c r="JC8" s="17"/>
      <c r="JD8" s="17">
        <v>2</v>
      </c>
      <c r="JE8" s="17">
        <v>2</v>
      </c>
      <c r="JF8" s="17"/>
      <c r="JG8" s="17"/>
      <c r="JH8" s="17"/>
      <c r="JI8" s="17"/>
      <c r="JJ8" s="17"/>
      <c r="JK8" s="17">
        <v>2</v>
      </c>
      <c r="JL8" s="17"/>
      <c r="JM8" s="17">
        <v>1</v>
      </c>
      <c r="JN8" s="17">
        <v>1</v>
      </c>
      <c r="JO8" s="17"/>
      <c r="JP8" s="17"/>
      <c r="JQ8" s="17">
        <v>2</v>
      </c>
      <c r="JR8" s="17">
        <v>1</v>
      </c>
      <c r="JS8" s="17"/>
      <c r="JT8" s="17"/>
      <c r="JU8" s="17"/>
      <c r="JV8" s="17"/>
      <c r="JW8" s="17"/>
      <c r="JX8" s="17">
        <v>1</v>
      </c>
      <c r="JY8" s="17"/>
      <c r="JZ8" s="17">
        <v>1</v>
      </c>
      <c r="KA8" s="17"/>
      <c r="KB8" s="17"/>
      <c r="KC8" s="17"/>
      <c r="KD8" s="17"/>
      <c r="KE8" s="17"/>
      <c r="KF8" s="17">
        <v>1</v>
      </c>
      <c r="KG8" s="17">
        <v>1</v>
      </c>
      <c r="KH8" s="17">
        <v>2</v>
      </c>
      <c r="KI8" s="17">
        <v>1</v>
      </c>
      <c r="KJ8" s="17">
        <v>1</v>
      </c>
      <c r="KK8" s="17">
        <v>1</v>
      </c>
      <c r="KL8" s="17"/>
      <c r="KM8" s="17"/>
      <c r="KN8" s="17">
        <v>1</v>
      </c>
      <c r="KO8" s="17"/>
      <c r="KP8" s="17"/>
      <c r="KQ8" s="17">
        <v>1</v>
      </c>
      <c r="KR8" s="17">
        <v>1</v>
      </c>
      <c r="KS8" s="17"/>
      <c r="KT8" s="17">
        <v>1</v>
      </c>
      <c r="KU8" s="17"/>
      <c r="KV8" s="17"/>
      <c r="KW8" s="17"/>
      <c r="KX8" s="17"/>
      <c r="KY8" s="17">
        <v>1</v>
      </c>
      <c r="KZ8" s="17">
        <v>1</v>
      </c>
      <c r="LA8" s="17">
        <v>1</v>
      </c>
      <c r="LB8" s="17"/>
      <c r="LC8" s="17">
        <v>1</v>
      </c>
      <c r="LD8" s="17"/>
      <c r="LE8" s="17"/>
      <c r="LF8" s="17"/>
      <c r="LG8" s="17"/>
      <c r="LH8" s="17">
        <v>1</v>
      </c>
      <c r="LI8" s="17">
        <v>1</v>
      </c>
      <c r="LJ8" s="17"/>
      <c r="LK8" s="17">
        <v>1</v>
      </c>
      <c r="LL8" s="17">
        <v>1</v>
      </c>
      <c r="LM8" s="17"/>
      <c r="LN8" s="17"/>
      <c r="LO8" s="17"/>
      <c r="LP8" s="17">
        <v>1</v>
      </c>
      <c r="LQ8" s="17">
        <v>1</v>
      </c>
      <c r="LR8" s="17"/>
      <c r="LS8" s="17">
        <v>2</v>
      </c>
      <c r="LT8" s="17">
        <v>1</v>
      </c>
      <c r="LU8" s="17"/>
      <c r="LV8" s="17"/>
      <c r="LW8" s="17">
        <v>1</v>
      </c>
      <c r="LX8" s="17"/>
      <c r="LY8" s="17"/>
      <c r="LZ8" s="17"/>
      <c r="MA8" s="17"/>
      <c r="MB8" s="17"/>
      <c r="MC8" s="17"/>
      <c r="MD8" s="17">
        <v>1</v>
      </c>
      <c r="ME8" s="17">
        <v>1</v>
      </c>
      <c r="MF8" s="17"/>
      <c r="MG8" s="17"/>
      <c r="MH8" s="17">
        <v>1</v>
      </c>
      <c r="MI8" s="17"/>
      <c r="MJ8" s="17"/>
      <c r="MK8" s="17"/>
      <c r="ML8" s="17">
        <v>1</v>
      </c>
      <c r="MM8" s="17"/>
      <c r="MN8" s="17"/>
      <c r="MO8" s="17"/>
      <c r="MP8" s="17"/>
      <c r="MQ8" s="17">
        <v>1</v>
      </c>
      <c r="MR8" s="17"/>
      <c r="MS8" s="17"/>
      <c r="MT8" s="17"/>
      <c r="MU8" s="17"/>
      <c r="MV8" s="17"/>
      <c r="MW8" s="17">
        <v>1</v>
      </c>
      <c r="MX8" s="17"/>
      <c r="MY8" s="17"/>
      <c r="MZ8" s="17"/>
      <c r="NA8" s="17"/>
      <c r="NB8" s="17">
        <v>1</v>
      </c>
      <c r="NC8" s="17"/>
      <c r="ND8" s="17">
        <v>2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>
        <v>1</v>
      </c>
      <c r="NP8" s="17"/>
      <c r="NQ8" s="17"/>
      <c r="NR8" s="17"/>
      <c r="NS8" s="17">
        <v>1</v>
      </c>
      <c r="NT8" s="17"/>
      <c r="NU8" s="17"/>
      <c r="NV8" s="17">
        <v>2</v>
      </c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>
        <v>1</v>
      </c>
      <c r="OM8" s="17"/>
      <c r="ON8" s="17"/>
      <c r="OO8" s="17"/>
      <c r="OP8" s="17"/>
      <c r="OQ8" s="17"/>
      <c r="OR8" s="17">
        <v>1</v>
      </c>
      <c r="OS8" s="17"/>
      <c r="OT8" s="17"/>
      <c r="OU8" s="17"/>
      <c r="OV8" s="17"/>
      <c r="OW8" s="17">
        <v>1</v>
      </c>
      <c r="OX8" s="17"/>
      <c r="OY8" s="17">
        <v>2</v>
      </c>
      <c r="OZ8" s="17"/>
      <c r="PA8" s="17"/>
      <c r="PB8" s="17"/>
      <c r="PC8" s="17"/>
      <c r="PD8" s="17"/>
      <c r="PE8" s="17"/>
      <c r="PF8" s="17"/>
      <c r="PG8" s="17"/>
      <c r="PH8" s="17"/>
      <c r="PI8" s="17">
        <v>2</v>
      </c>
      <c r="PJ8" s="17">
        <v>1</v>
      </c>
      <c r="PK8" s="17"/>
      <c r="PL8" s="17"/>
      <c r="PM8" s="17"/>
      <c r="PN8" s="17">
        <v>2</v>
      </c>
      <c r="PO8" s="17"/>
      <c r="PP8" s="17"/>
      <c r="PQ8" s="17">
        <v>1</v>
      </c>
      <c r="PR8" s="17"/>
      <c r="PS8" s="17"/>
      <c r="PT8" s="17"/>
      <c r="PU8" s="17"/>
      <c r="PV8" s="17"/>
      <c r="PW8" s="17" t="s">
        <v>506</v>
      </c>
      <c r="PX8" s="17" t="s">
        <v>506</v>
      </c>
      <c r="PY8" s="17" t="s">
        <v>506</v>
      </c>
      <c r="PZ8" s="17" t="s">
        <v>507</v>
      </c>
      <c r="QA8" s="17" t="s">
        <v>506</v>
      </c>
      <c r="QB8" s="17" t="s">
        <v>506</v>
      </c>
      <c r="QC8" s="17" t="s">
        <v>508</v>
      </c>
      <c r="QD8" s="17" t="s">
        <v>508</v>
      </c>
      <c r="QE8" s="17" t="s">
        <v>506</v>
      </c>
      <c r="QF8" s="17" t="s">
        <v>508</v>
      </c>
      <c r="QG8" s="17" t="s">
        <v>507</v>
      </c>
      <c r="QH8" s="17" t="s">
        <v>508</v>
      </c>
      <c r="QI8" s="17">
        <v>1</v>
      </c>
      <c r="QJ8" s="17">
        <v>1</v>
      </c>
      <c r="QK8" s="17">
        <v>0</v>
      </c>
      <c r="QL8" s="17">
        <v>1</v>
      </c>
      <c r="QM8" s="17">
        <v>0</v>
      </c>
      <c r="QN8" s="17">
        <v>1</v>
      </c>
      <c r="QO8" s="17">
        <v>1</v>
      </c>
      <c r="QP8" s="17">
        <v>1</v>
      </c>
      <c r="QQ8" s="17">
        <v>1</v>
      </c>
      <c r="QR8" s="17">
        <v>1</v>
      </c>
      <c r="QS8" s="17">
        <v>1</v>
      </c>
      <c r="QT8" s="17">
        <v>1</v>
      </c>
      <c r="QU8" s="17">
        <v>1</v>
      </c>
      <c r="QV8" s="17">
        <v>0</v>
      </c>
      <c r="QW8" s="17">
        <v>0</v>
      </c>
      <c r="QX8" s="17">
        <v>1</v>
      </c>
      <c r="QY8" s="17">
        <v>0</v>
      </c>
      <c r="QZ8" s="17">
        <v>1</v>
      </c>
      <c r="RA8" s="17">
        <v>0</v>
      </c>
      <c r="RB8" s="17">
        <v>1</v>
      </c>
      <c r="RC8" s="17">
        <v>1</v>
      </c>
      <c r="RD8" s="17">
        <v>0</v>
      </c>
      <c r="RE8" s="17">
        <v>1</v>
      </c>
      <c r="RF8" s="17">
        <v>0</v>
      </c>
      <c r="RG8" s="17">
        <v>0</v>
      </c>
      <c r="RH8" s="17">
        <v>0</v>
      </c>
      <c r="RI8" s="17">
        <v>0</v>
      </c>
      <c r="RJ8" s="17">
        <v>0</v>
      </c>
      <c r="RK8" s="17">
        <v>0</v>
      </c>
      <c r="RL8" s="17">
        <v>0</v>
      </c>
      <c r="RM8" s="17">
        <v>0</v>
      </c>
      <c r="RN8" s="17">
        <v>1</v>
      </c>
      <c r="RO8" s="17">
        <v>0</v>
      </c>
      <c r="RP8" s="17">
        <v>0</v>
      </c>
      <c r="RQ8" s="17">
        <v>0</v>
      </c>
      <c r="RR8" s="17">
        <v>0</v>
      </c>
      <c r="RS8" s="17">
        <v>1</v>
      </c>
      <c r="RT8" s="17">
        <v>1</v>
      </c>
      <c r="RU8" s="17">
        <v>0</v>
      </c>
      <c r="RV8" s="17">
        <v>0</v>
      </c>
      <c r="RW8" s="17">
        <v>1</v>
      </c>
      <c r="RX8" s="17">
        <v>1</v>
      </c>
      <c r="RY8" s="17">
        <v>0</v>
      </c>
      <c r="RZ8" s="17">
        <v>0</v>
      </c>
      <c r="SA8" s="17">
        <v>0</v>
      </c>
      <c r="SB8" s="17">
        <v>0</v>
      </c>
      <c r="SC8" s="17">
        <v>0</v>
      </c>
      <c r="SD8" s="17">
        <v>1</v>
      </c>
      <c r="SE8" s="17">
        <v>1</v>
      </c>
      <c r="SF8" s="17">
        <v>0</v>
      </c>
      <c r="SG8" s="17">
        <v>1</v>
      </c>
      <c r="SH8" s="17"/>
      <c r="SI8" s="17">
        <v>10008</v>
      </c>
      <c r="SJ8" s="19">
        <f t="shared" si="3"/>
        <v>102</v>
      </c>
      <c r="SK8" s="19">
        <f t="shared" si="0"/>
        <v>118</v>
      </c>
      <c r="SL8" s="19">
        <f t="shared" si="1"/>
        <v>16</v>
      </c>
      <c r="SM8" s="9">
        <v>10008</v>
      </c>
      <c r="SN8" s="9" t="s">
        <v>504</v>
      </c>
      <c r="SO8" s="10">
        <v>1</v>
      </c>
      <c r="SP8" s="9">
        <v>2</v>
      </c>
      <c r="SQ8" s="11" t="s">
        <v>518</v>
      </c>
      <c r="SR8" s="9">
        <v>16</v>
      </c>
      <c r="SS8" s="28" t="s">
        <v>563</v>
      </c>
      <c r="ST8" s="28">
        <v>17</v>
      </c>
      <c r="SU8" s="28">
        <v>118</v>
      </c>
      <c r="SV8" s="28">
        <v>15</v>
      </c>
      <c r="SW8" s="28">
        <v>16</v>
      </c>
      <c r="SX8" s="28">
        <v>17</v>
      </c>
      <c r="SY8" s="29">
        <v>32</v>
      </c>
      <c r="SZ8" s="30">
        <v>12</v>
      </c>
      <c r="TA8" s="31">
        <v>21</v>
      </c>
      <c r="TB8" s="31">
        <v>35</v>
      </c>
    </row>
    <row r="9" spans="1:522" ht="15.75" customHeight="1" x14ac:dyDescent="0.2">
      <c r="A9" s="17">
        <v>10009</v>
      </c>
      <c r="B9" s="17" t="s">
        <v>501</v>
      </c>
      <c r="C9" s="17" t="s">
        <v>502</v>
      </c>
      <c r="D9" s="17" t="s">
        <v>503</v>
      </c>
      <c r="E9" s="17" t="s">
        <v>504</v>
      </c>
      <c r="F9" s="18">
        <v>37947</v>
      </c>
      <c r="G9" s="18">
        <v>38450</v>
      </c>
      <c r="H9" s="14">
        <f t="shared" si="2"/>
        <v>16</v>
      </c>
      <c r="I9" s="17" t="s">
        <v>505</v>
      </c>
      <c r="J9" s="17">
        <v>1</v>
      </c>
      <c r="K9" s="17">
        <v>1</v>
      </c>
      <c r="L9" s="17">
        <v>1</v>
      </c>
      <c r="M9" s="17"/>
      <c r="N9" s="17"/>
      <c r="O9" s="17"/>
      <c r="P9" s="17">
        <v>1</v>
      </c>
      <c r="Q9" s="17">
        <v>1</v>
      </c>
      <c r="R9" s="17"/>
      <c r="S9" s="17">
        <v>1</v>
      </c>
      <c r="T9" s="17">
        <v>1</v>
      </c>
      <c r="U9" s="17">
        <v>1</v>
      </c>
      <c r="V9" s="17"/>
      <c r="W9" s="17"/>
      <c r="X9" s="17"/>
      <c r="Y9" s="17"/>
      <c r="Z9" s="17">
        <v>1</v>
      </c>
      <c r="AA9" s="17">
        <v>1</v>
      </c>
      <c r="AB9" s="17"/>
      <c r="AC9" s="17"/>
      <c r="AD9" s="17"/>
      <c r="AE9" s="17">
        <v>1</v>
      </c>
      <c r="AF9" s="17"/>
      <c r="AG9" s="17"/>
      <c r="AH9" s="17"/>
      <c r="AI9" s="17"/>
      <c r="AJ9" s="17"/>
      <c r="AK9" s="17">
        <v>1</v>
      </c>
      <c r="AL9" s="17">
        <v>1</v>
      </c>
      <c r="AM9" s="17"/>
      <c r="AN9" s="17"/>
      <c r="AO9" s="17" t="s">
        <v>507</v>
      </c>
      <c r="AP9" s="17" t="s">
        <v>508</v>
      </c>
      <c r="AQ9" s="17"/>
      <c r="AR9" s="17"/>
      <c r="AS9" s="17"/>
      <c r="AT9" s="17">
        <v>2</v>
      </c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>
        <v>1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>
        <v>1</v>
      </c>
      <c r="CQ9" s="17"/>
      <c r="CR9" s="17"/>
      <c r="CS9" s="17">
        <v>1</v>
      </c>
      <c r="CT9" s="17">
        <v>1</v>
      </c>
      <c r="CU9" s="17">
        <v>1</v>
      </c>
      <c r="CV9" s="17">
        <v>2</v>
      </c>
      <c r="CW9" s="17"/>
      <c r="CX9" s="17">
        <v>1</v>
      </c>
      <c r="CY9" s="17">
        <v>1</v>
      </c>
      <c r="CZ9" s="17"/>
      <c r="DA9" s="17"/>
      <c r="DB9" s="17"/>
      <c r="DC9" s="17"/>
      <c r="DD9" s="17"/>
      <c r="DE9" s="17">
        <v>1</v>
      </c>
      <c r="DF9" s="17"/>
      <c r="DG9" s="17"/>
      <c r="DH9" s="17"/>
      <c r="DI9" s="17"/>
      <c r="DJ9" s="17"/>
      <c r="DK9" s="17"/>
      <c r="DL9" s="17">
        <v>1</v>
      </c>
      <c r="DM9" s="17"/>
      <c r="DN9" s="17"/>
      <c r="DO9" s="17"/>
      <c r="DP9" s="17"/>
      <c r="DQ9" s="17">
        <v>1</v>
      </c>
      <c r="DR9" s="17"/>
      <c r="DS9" s="17"/>
      <c r="DT9" s="17"/>
      <c r="DU9" s="17"/>
      <c r="DV9" s="17"/>
      <c r="DW9" s="17">
        <v>1</v>
      </c>
      <c r="DX9" s="17"/>
      <c r="DY9" s="17">
        <v>1</v>
      </c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>
        <v>1</v>
      </c>
      <c r="EP9" s="17"/>
      <c r="EQ9" s="17"/>
      <c r="ER9" s="17"/>
      <c r="ES9" s="17">
        <v>1</v>
      </c>
      <c r="ET9" s="17"/>
      <c r="EU9" s="17"/>
      <c r="EV9" s="17">
        <v>2</v>
      </c>
      <c r="EW9" s="17"/>
      <c r="EX9" s="17">
        <v>1</v>
      </c>
      <c r="EY9" s="17"/>
      <c r="EZ9" s="17"/>
      <c r="FA9" s="17"/>
      <c r="FB9" s="17">
        <v>2</v>
      </c>
      <c r="FC9" s="17"/>
      <c r="FD9" s="17">
        <v>1</v>
      </c>
      <c r="FE9" s="17"/>
      <c r="FF9" s="17"/>
      <c r="FG9" s="17"/>
      <c r="FH9" s="17"/>
      <c r="FI9" s="17"/>
      <c r="FJ9" s="17"/>
      <c r="FK9" s="17">
        <v>1</v>
      </c>
      <c r="FL9" s="17"/>
      <c r="FM9" s="17"/>
      <c r="FN9" s="17"/>
      <c r="FO9" s="17"/>
      <c r="FP9" s="17"/>
      <c r="FQ9" s="17"/>
      <c r="FR9" s="17"/>
      <c r="FS9" s="17"/>
      <c r="FT9" s="17">
        <v>1</v>
      </c>
      <c r="FU9" s="17">
        <v>1</v>
      </c>
      <c r="FV9" s="17">
        <v>1</v>
      </c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>
        <v>1</v>
      </c>
      <c r="GJ9" s="17"/>
      <c r="GK9" s="17">
        <v>1</v>
      </c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>
        <v>1</v>
      </c>
      <c r="GZ9" s="17"/>
      <c r="HA9" s="17"/>
      <c r="HB9" s="17"/>
      <c r="HC9" s="17"/>
      <c r="HD9" s="17"/>
      <c r="HE9" s="17"/>
      <c r="HF9" s="17">
        <v>1</v>
      </c>
      <c r="HG9" s="17"/>
      <c r="HH9" s="17"/>
      <c r="HI9" s="17"/>
      <c r="HJ9" s="17"/>
      <c r="HK9" s="17"/>
      <c r="HL9" s="17">
        <v>1</v>
      </c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>
        <v>1</v>
      </c>
      <c r="IK9" s="17"/>
      <c r="IL9" s="17"/>
      <c r="IM9" s="17"/>
      <c r="IN9" s="17"/>
      <c r="IO9" s="17"/>
      <c r="IP9" s="17"/>
      <c r="IQ9" s="17"/>
      <c r="IR9" s="17"/>
      <c r="IS9" s="17"/>
      <c r="IT9" s="17">
        <v>1</v>
      </c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>
        <v>1</v>
      </c>
      <c r="JH9" s="17"/>
      <c r="JI9" s="17"/>
      <c r="JJ9" s="17"/>
      <c r="JK9" s="17">
        <v>2</v>
      </c>
      <c r="JL9" s="17"/>
      <c r="JM9" s="17">
        <v>2</v>
      </c>
      <c r="JN9" s="17">
        <v>2</v>
      </c>
      <c r="JO9" s="17"/>
      <c r="JP9" s="17"/>
      <c r="JQ9" s="17">
        <v>2</v>
      </c>
      <c r="JR9" s="17">
        <v>1</v>
      </c>
      <c r="JS9" s="17"/>
      <c r="JT9" s="17"/>
      <c r="JU9" s="17"/>
      <c r="JV9" s="17"/>
      <c r="JW9" s="17">
        <v>2</v>
      </c>
      <c r="JX9" s="17">
        <v>1</v>
      </c>
      <c r="JY9" s="17"/>
      <c r="JZ9" s="17">
        <v>2</v>
      </c>
      <c r="KA9" s="17"/>
      <c r="KB9" s="17">
        <v>1</v>
      </c>
      <c r="KC9" s="17">
        <v>1</v>
      </c>
      <c r="KD9" s="17">
        <v>1</v>
      </c>
      <c r="KE9" s="17"/>
      <c r="KF9" s="17">
        <v>1</v>
      </c>
      <c r="KG9" s="17">
        <v>2</v>
      </c>
      <c r="KH9" s="17">
        <v>2</v>
      </c>
      <c r="KI9" s="17"/>
      <c r="KJ9" s="17">
        <v>1</v>
      </c>
      <c r="KK9" s="17">
        <v>1</v>
      </c>
      <c r="KL9" s="17">
        <v>2</v>
      </c>
      <c r="KM9" s="17"/>
      <c r="KN9" s="17"/>
      <c r="KO9" s="17"/>
      <c r="KP9" s="17"/>
      <c r="KQ9" s="17"/>
      <c r="KR9" s="17"/>
      <c r="KS9" s="17"/>
      <c r="KT9" s="17">
        <v>1</v>
      </c>
      <c r="KU9" s="17"/>
      <c r="KV9" s="17">
        <v>1</v>
      </c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>
        <v>1</v>
      </c>
      <c r="LH9" s="17">
        <v>1</v>
      </c>
      <c r="LI9" s="17">
        <v>1</v>
      </c>
      <c r="LJ9" s="17">
        <v>1</v>
      </c>
      <c r="LK9" s="17"/>
      <c r="LL9" s="17">
        <v>1</v>
      </c>
      <c r="LM9" s="17"/>
      <c r="LN9" s="17"/>
      <c r="LO9" s="17"/>
      <c r="LP9" s="17">
        <v>1</v>
      </c>
      <c r="LQ9" s="17">
        <v>1</v>
      </c>
      <c r="LR9" s="17"/>
      <c r="LS9" s="17"/>
      <c r="LT9" s="17"/>
      <c r="LU9" s="17"/>
      <c r="LV9" s="17"/>
      <c r="LW9" s="17"/>
      <c r="LX9" s="17"/>
      <c r="LY9" s="17"/>
      <c r="LZ9" s="17"/>
      <c r="MA9" s="17">
        <v>1</v>
      </c>
      <c r="MB9" s="17"/>
      <c r="MC9" s="17"/>
      <c r="MD9" s="17"/>
      <c r="ME9" s="17"/>
      <c r="MF9" s="17"/>
      <c r="MG9" s="17">
        <v>1</v>
      </c>
      <c r="MH9" s="17"/>
      <c r="MI9" s="17"/>
      <c r="MJ9" s="17"/>
      <c r="MK9" s="17"/>
      <c r="ML9" s="17"/>
      <c r="MM9" s="17">
        <v>1</v>
      </c>
      <c r="MN9" s="17">
        <v>1</v>
      </c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>
        <v>2</v>
      </c>
      <c r="NC9" s="17"/>
      <c r="ND9" s="17"/>
      <c r="NE9" s="17"/>
      <c r="NF9" s="17"/>
      <c r="NG9" s="17"/>
      <c r="NH9" s="17">
        <v>1</v>
      </c>
      <c r="NI9" s="17"/>
      <c r="NJ9" s="17"/>
      <c r="NK9" s="17"/>
      <c r="NL9" s="17"/>
      <c r="NM9" s="17"/>
      <c r="NN9" s="17"/>
      <c r="NO9" s="17"/>
      <c r="NP9" s="17"/>
      <c r="NQ9" s="17"/>
      <c r="NR9" s="17">
        <v>1</v>
      </c>
      <c r="NS9" s="17"/>
      <c r="NT9" s="17"/>
      <c r="NU9" s="17"/>
      <c r="NV9" s="17">
        <v>2</v>
      </c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>
        <v>1</v>
      </c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>
        <v>1</v>
      </c>
      <c r="PQ9" s="17">
        <v>2</v>
      </c>
      <c r="PR9" s="17"/>
      <c r="PS9" s="17"/>
      <c r="PT9" s="17"/>
      <c r="PU9" s="17"/>
      <c r="PV9" s="17"/>
      <c r="PW9" s="17" t="s">
        <v>506</v>
      </c>
      <c r="PX9" s="17" t="s">
        <v>506</v>
      </c>
      <c r="PY9" s="17" t="s">
        <v>507</v>
      </c>
      <c r="PZ9" s="17" t="s">
        <v>506</v>
      </c>
      <c r="QA9" s="17" t="s">
        <v>507</v>
      </c>
      <c r="QB9" s="17" t="s">
        <v>506</v>
      </c>
      <c r="QC9" s="17" t="s">
        <v>507</v>
      </c>
      <c r="QD9" s="17" t="s">
        <v>508</v>
      </c>
      <c r="QE9" s="17" t="s">
        <v>506</v>
      </c>
      <c r="QF9" s="17" t="s">
        <v>508</v>
      </c>
      <c r="QG9" s="17" t="s">
        <v>507</v>
      </c>
      <c r="QH9" s="17" t="s">
        <v>508</v>
      </c>
      <c r="QI9" s="17">
        <v>1</v>
      </c>
      <c r="QJ9" s="17">
        <v>0</v>
      </c>
      <c r="QK9" s="17">
        <v>0</v>
      </c>
      <c r="QL9" s="17">
        <v>1</v>
      </c>
      <c r="QM9" s="17">
        <v>1</v>
      </c>
      <c r="QN9" s="17">
        <v>0</v>
      </c>
      <c r="QO9" s="17">
        <v>1</v>
      </c>
      <c r="QP9" s="17">
        <v>1</v>
      </c>
      <c r="QQ9" s="17">
        <v>1</v>
      </c>
      <c r="QR9" s="17">
        <v>1</v>
      </c>
      <c r="QS9" s="17">
        <v>1</v>
      </c>
      <c r="QT9" s="17">
        <v>1</v>
      </c>
      <c r="QU9" s="17">
        <v>1</v>
      </c>
      <c r="QV9" s="17">
        <v>0</v>
      </c>
      <c r="QW9" s="17">
        <v>0</v>
      </c>
      <c r="QX9" s="17">
        <v>0</v>
      </c>
      <c r="QY9" s="17">
        <v>0</v>
      </c>
      <c r="QZ9" s="17">
        <v>1</v>
      </c>
      <c r="RA9" s="17">
        <v>0</v>
      </c>
      <c r="RB9" s="17">
        <v>1</v>
      </c>
      <c r="RC9" s="17">
        <v>1</v>
      </c>
      <c r="RD9" s="17">
        <v>0</v>
      </c>
      <c r="RE9" s="17">
        <v>0</v>
      </c>
      <c r="RF9" s="17">
        <v>0</v>
      </c>
      <c r="RG9" s="17">
        <v>1</v>
      </c>
      <c r="RH9" s="17">
        <v>0</v>
      </c>
      <c r="RI9" s="17">
        <v>0</v>
      </c>
      <c r="RJ9" s="17">
        <v>0</v>
      </c>
      <c r="RK9" s="17">
        <v>0</v>
      </c>
      <c r="RL9" s="17">
        <v>0</v>
      </c>
      <c r="RM9" s="17">
        <v>0</v>
      </c>
      <c r="RN9" s="17">
        <v>1</v>
      </c>
      <c r="RO9" s="17">
        <v>0</v>
      </c>
      <c r="RP9" s="17">
        <v>0</v>
      </c>
      <c r="RQ9" s="17">
        <v>1</v>
      </c>
      <c r="RR9" s="17">
        <v>0</v>
      </c>
      <c r="RS9" s="17">
        <v>0</v>
      </c>
      <c r="RT9" s="17">
        <v>1</v>
      </c>
      <c r="RU9" s="17">
        <v>0</v>
      </c>
      <c r="RV9" s="17">
        <v>0</v>
      </c>
      <c r="RW9" s="17">
        <v>1</v>
      </c>
      <c r="RX9" s="17">
        <v>1</v>
      </c>
      <c r="RY9" s="17">
        <v>0</v>
      </c>
      <c r="RZ9" s="17">
        <v>0</v>
      </c>
      <c r="SA9" s="17">
        <v>1</v>
      </c>
      <c r="SB9" s="17">
        <v>1</v>
      </c>
      <c r="SC9" s="17">
        <v>0</v>
      </c>
      <c r="SD9" s="17">
        <v>0</v>
      </c>
      <c r="SE9" s="17">
        <v>0</v>
      </c>
      <c r="SF9" s="17">
        <v>0</v>
      </c>
      <c r="SG9" s="17">
        <v>1</v>
      </c>
      <c r="SH9" s="17"/>
      <c r="SI9" s="17">
        <v>10009</v>
      </c>
      <c r="SJ9" s="19">
        <f t="shared" si="3"/>
        <v>53</v>
      </c>
      <c r="SK9" s="19">
        <f t="shared" si="0"/>
        <v>69</v>
      </c>
      <c r="SL9" s="19">
        <f t="shared" si="1"/>
        <v>16</v>
      </c>
      <c r="SM9" s="9">
        <v>10009</v>
      </c>
      <c r="SN9" s="9" t="s">
        <v>504</v>
      </c>
      <c r="SO9" s="10">
        <v>1</v>
      </c>
      <c r="SP9" s="9">
        <v>2</v>
      </c>
      <c r="SQ9" s="13" t="s">
        <v>517</v>
      </c>
      <c r="SR9" s="9">
        <v>16</v>
      </c>
      <c r="SS9" s="28">
        <v>55.5</v>
      </c>
      <c r="ST9" s="28">
        <v>16</v>
      </c>
      <c r="SU9" s="28">
        <v>78</v>
      </c>
      <c r="SV9" s="28">
        <v>13</v>
      </c>
      <c r="SW9" s="28">
        <v>19</v>
      </c>
      <c r="SX9" s="28">
        <v>34</v>
      </c>
      <c r="SY9" s="29">
        <v>31</v>
      </c>
      <c r="SZ9" s="30">
        <v>17</v>
      </c>
      <c r="TA9" s="31">
        <v>10</v>
      </c>
      <c r="TB9" s="31">
        <v>10</v>
      </c>
    </row>
    <row r="10" spans="1:522" ht="15.75" customHeight="1" x14ac:dyDescent="0.2">
      <c r="A10" s="17">
        <v>10010</v>
      </c>
      <c r="B10" s="17" t="s">
        <v>501</v>
      </c>
      <c r="C10" s="17" t="s">
        <v>502</v>
      </c>
      <c r="D10" s="17" t="s">
        <v>503</v>
      </c>
      <c r="E10" s="17" t="s">
        <v>504</v>
      </c>
      <c r="F10" s="18">
        <v>37932</v>
      </c>
      <c r="G10" s="18">
        <v>38504</v>
      </c>
      <c r="H10" s="14">
        <f t="shared" si="2"/>
        <v>18</v>
      </c>
      <c r="I10" s="17" t="s">
        <v>505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/>
      <c r="Q10" s="17"/>
      <c r="R10" s="17">
        <v>1</v>
      </c>
      <c r="S10" s="17">
        <v>1</v>
      </c>
      <c r="T10" s="17"/>
      <c r="U10" s="17">
        <v>1</v>
      </c>
      <c r="V10" s="17"/>
      <c r="W10" s="17"/>
      <c r="X10" s="17"/>
      <c r="Y10" s="17"/>
      <c r="Z10" s="17">
        <v>1</v>
      </c>
      <c r="AA10" s="17">
        <v>1</v>
      </c>
      <c r="AB10" s="17">
        <v>1</v>
      </c>
      <c r="AC10" s="17">
        <v>1</v>
      </c>
      <c r="AD10" s="17"/>
      <c r="AE10" s="17">
        <v>1</v>
      </c>
      <c r="AF10" s="17">
        <v>1</v>
      </c>
      <c r="AG10" s="17"/>
      <c r="AH10" s="17">
        <v>1</v>
      </c>
      <c r="AI10" s="17"/>
      <c r="AJ10" s="17"/>
      <c r="AK10" s="17">
        <v>1</v>
      </c>
      <c r="AL10" s="17">
        <v>1</v>
      </c>
      <c r="AM10" s="17"/>
      <c r="AN10" s="17"/>
      <c r="AO10" s="17" t="s">
        <v>507</v>
      </c>
      <c r="AP10" s="17" t="s">
        <v>508</v>
      </c>
      <c r="AQ10" s="17">
        <v>1</v>
      </c>
      <c r="AR10" s="17">
        <v>2</v>
      </c>
      <c r="AS10" s="17"/>
      <c r="AT10" s="17">
        <v>2</v>
      </c>
      <c r="AU10" s="17">
        <v>2</v>
      </c>
      <c r="AV10" s="17">
        <v>2</v>
      </c>
      <c r="AW10" s="17">
        <v>1</v>
      </c>
      <c r="AX10" s="17">
        <v>2</v>
      </c>
      <c r="AY10" s="17">
        <v>2</v>
      </c>
      <c r="AZ10" s="17">
        <v>1</v>
      </c>
      <c r="BA10" s="17">
        <v>1</v>
      </c>
      <c r="BB10" s="17">
        <v>1</v>
      </c>
      <c r="BC10" s="17"/>
      <c r="BD10" s="17">
        <v>2</v>
      </c>
      <c r="BE10" s="17">
        <v>2</v>
      </c>
      <c r="BF10" s="17">
        <v>2</v>
      </c>
      <c r="BG10" s="17">
        <v>2</v>
      </c>
      <c r="BH10" s="17">
        <v>1</v>
      </c>
      <c r="BI10" s="17">
        <v>2</v>
      </c>
      <c r="BJ10" s="17">
        <v>2</v>
      </c>
      <c r="BK10" s="17">
        <v>1</v>
      </c>
      <c r="BL10" s="17">
        <v>1</v>
      </c>
      <c r="BM10" s="17"/>
      <c r="BN10" s="17">
        <v>2</v>
      </c>
      <c r="BO10" s="17"/>
      <c r="BP10" s="17">
        <v>1</v>
      </c>
      <c r="BQ10" s="17">
        <v>2</v>
      </c>
      <c r="BR10" s="17">
        <v>2</v>
      </c>
      <c r="BS10" s="17"/>
      <c r="BT10" s="17">
        <v>2</v>
      </c>
      <c r="BU10" s="17"/>
      <c r="BV10" s="17">
        <v>1</v>
      </c>
      <c r="BW10" s="17"/>
      <c r="BX10" s="17"/>
      <c r="BY10" s="17">
        <v>1</v>
      </c>
      <c r="BZ10" s="17">
        <v>1</v>
      </c>
      <c r="CA10" s="17"/>
      <c r="CB10" s="17"/>
      <c r="CC10" s="17"/>
      <c r="CD10" s="17"/>
      <c r="CE10" s="17"/>
      <c r="CF10" s="17"/>
      <c r="CG10" s="17"/>
      <c r="CH10" s="17"/>
      <c r="CI10" s="17">
        <v>2</v>
      </c>
      <c r="CJ10" s="17">
        <v>1</v>
      </c>
      <c r="CK10" s="17"/>
      <c r="CL10" s="17">
        <v>2</v>
      </c>
      <c r="CM10" s="17">
        <v>2</v>
      </c>
      <c r="CN10" s="17"/>
      <c r="CO10" s="17"/>
      <c r="CP10" s="17">
        <v>2</v>
      </c>
      <c r="CQ10" s="17"/>
      <c r="CR10" s="17"/>
      <c r="CS10" s="17"/>
      <c r="CT10" s="17">
        <v>2</v>
      </c>
      <c r="CU10" s="17">
        <v>2</v>
      </c>
      <c r="CV10" s="17">
        <v>2</v>
      </c>
      <c r="CW10" s="17">
        <v>2</v>
      </c>
      <c r="CX10" s="17">
        <v>1</v>
      </c>
      <c r="CY10" s="17">
        <v>2</v>
      </c>
      <c r="CZ10" s="17">
        <v>2</v>
      </c>
      <c r="DA10" s="17"/>
      <c r="DB10" s="17"/>
      <c r="DC10" s="17">
        <v>1</v>
      </c>
      <c r="DD10" s="17">
        <v>2</v>
      </c>
      <c r="DE10" s="17">
        <v>2</v>
      </c>
      <c r="DF10" s="17"/>
      <c r="DG10" s="17"/>
      <c r="DH10" s="17"/>
      <c r="DI10" s="17"/>
      <c r="DJ10" s="17"/>
      <c r="DK10" s="17"/>
      <c r="DL10" s="17"/>
      <c r="DM10" s="17"/>
      <c r="DN10" s="17">
        <v>2</v>
      </c>
      <c r="DO10" s="17"/>
      <c r="DP10" s="17"/>
      <c r="DQ10" s="17">
        <v>1</v>
      </c>
      <c r="DR10" s="17"/>
      <c r="DS10" s="17">
        <v>1</v>
      </c>
      <c r="DT10" s="17"/>
      <c r="DU10" s="17">
        <v>2</v>
      </c>
      <c r="DV10" s="17">
        <v>2</v>
      </c>
      <c r="DW10" s="17">
        <v>2</v>
      </c>
      <c r="DX10" s="17"/>
      <c r="DY10" s="17">
        <v>1</v>
      </c>
      <c r="DZ10" s="17">
        <v>1</v>
      </c>
      <c r="EA10" s="17">
        <v>1</v>
      </c>
      <c r="EB10" s="17"/>
      <c r="EC10" s="17"/>
      <c r="ED10" s="17"/>
      <c r="EE10" s="17"/>
      <c r="EF10" s="17"/>
      <c r="EG10" s="17">
        <v>2</v>
      </c>
      <c r="EH10" s="17"/>
      <c r="EI10" s="17"/>
      <c r="EJ10" s="17"/>
      <c r="EK10" s="17"/>
      <c r="EL10" s="17"/>
      <c r="EM10" s="17">
        <v>1</v>
      </c>
      <c r="EN10" s="17"/>
      <c r="EO10" s="17">
        <v>2</v>
      </c>
      <c r="EP10" s="17">
        <v>2</v>
      </c>
      <c r="EQ10" s="17"/>
      <c r="ER10" s="17"/>
      <c r="ES10" s="17">
        <v>1</v>
      </c>
      <c r="ET10" s="17">
        <v>1</v>
      </c>
      <c r="EU10" s="17"/>
      <c r="EV10" s="17">
        <v>2</v>
      </c>
      <c r="EW10" s="17"/>
      <c r="EX10" s="17">
        <v>1</v>
      </c>
      <c r="EY10" s="17"/>
      <c r="EZ10" s="17"/>
      <c r="FA10" s="17"/>
      <c r="FB10" s="17"/>
      <c r="FC10" s="17">
        <v>2</v>
      </c>
      <c r="FD10" s="17">
        <v>1</v>
      </c>
      <c r="FE10" s="17">
        <v>2</v>
      </c>
      <c r="FF10" s="17"/>
      <c r="FG10" s="17">
        <v>1</v>
      </c>
      <c r="FH10" s="17"/>
      <c r="FI10" s="17"/>
      <c r="FJ10" s="17">
        <v>2</v>
      </c>
      <c r="FK10" s="17"/>
      <c r="FL10" s="17">
        <v>1</v>
      </c>
      <c r="FM10" s="17"/>
      <c r="FN10" s="17">
        <v>2</v>
      </c>
      <c r="FO10" s="17">
        <v>2</v>
      </c>
      <c r="FP10" s="17"/>
      <c r="FQ10" s="17">
        <v>2</v>
      </c>
      <c r="FR10" s="17">
        <v>2</v>
      </c>
      <c r="FS10" s="17"/>
      <c r="FT10" s="17"/>
      <c r="FU10" s="17">
        <v>2</v>
      </c>
      <c r="FV10" s="17">
        <v>2</v>
      </c>
      <c r="FW10" s="17"/>
      <c r="FX10" s="17"/>
      <c r="FY10" s="17"/>
      <c r="FZ10" s="17">
        <v>1</v>
      </c>
      <c r="GA10" s="17"/>
      <c r="GB10" s="17"/>
      <c r="GC10" s="17">
        <v>1</v>
      </c>
      <c r="GD10" s="17"/>
      <c r="GE10" s="17"/>
      <c r="GF10" s="17"/>
      <c r="GG10" s="17">
        <v>2</v>
      </c>
      <c r="GH10" s="17"/>
      <c r="GI10" s="17">
        <v>1</v>
      </c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>
        <v>1</v>
      </c>
      <c r="GZ10" s="17">
        <v>1</v>
      </c>
      <c r="HA10" s="17"/>
      <c r="HB10" s="17"/>
      <c r="HC10" s="17"/>
      <c r="HD10" s="17"/>
      <c r="HE10" s="17"/>
      <c r="HF10" s="17"/>
      <c r="HG10" s="17"/>
      <c r="HH10" s="17"/>
      <c r="HI10" s="17">
        <v>2</v>
      </c>
      <c r="HJ10" s="17"/>
      <c r="HK10" s="17">
        <v>1</v>
      </c>
      <c r="HL10" s="17">
        <v>2</v>
      </c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>
        <v>1</v>
      </c>
      <c r="HY10" s="17"/>
      <c r="HZ10" s="17"/>
      <c r="IA10" s="17">
        <v>1</v>
      </c>
      <c r="IB10" s="17"/>
      <c r="IC10" s="17"/>
      <c r="ID10" s="17"/>
      <c r="IE10" s="17"/>
      <c r="IF10" s="17">
        <v>2</v>
      </c>
      <c r="IG10" s="17"/>
      <c r="IH10" s="17"/>
      <c r="II10" s="17">
        <v>2</v>
      </c>
      <c r="IJ10" s="17"/>
      <c r="IK10" s="17">
        <v>1</v>
      </c>
      <c r="IL10" s="17"/>
      <c r="IM10" s="17"/>
      <c r="IN10" s="17"/>
      <c r="IO10" s="17">
        <v>1</v>
      </c>
      <c r="IP10" s="17"/>
      <c r="IQ10" s="17">
        <v>1</v>
      </c>
      <c r="IR10" s="17"/>
      <c r="IS10" s="17"/>
      <c r="IT10" s="17"/>
      <c r="IU10" s="17"/>
      <c r="IV10" s="17"/>
      <c r="IW10" s="17"/>
      <c r="IX10" s="17"/>
      <c r="IY10" s="17"/>
      <c r="IZ10" s="17">
        <v>2</v>
      </c>
      <c r="JA10" s="17">
        <v>2</v>
      </c>
      <c r="JB10" s="17"/>
      <c r="JC10" s="17"/>
      <c r="JD10" s="17"/>
      <c r="JE10" s="17">
        <v>2</v>
      </c>
      <c r="JF10" s="17"/>
      <c r="JG10" s="17"/>
      <c r="JH10" s="17"/>
      <c r="JI10" s="17"/>
      <c r="JJ10" s="17"/>
      <c r="JK10" s="17">
        <v>2</v>
      </c>
      <c r="JL10" s="17"/>
      <c r="JM10" s="17">
        <v>2</v>
      </c>
      <c r="JN10" s="17"/>
      <c r="JO10" s="17"/>
      <c r="JP10" s="17"/>
      <c r="JQ10" s="17">
        <v>2</v>
      </c>
      <c r="JR10" s="17">
        <v>1</v>
      </c>
      <c r="JS10" s="17"/>
      <c r="JT10" s="17"/>
      <c r="JU10" s="17"/>
      <c r="JV10" s="17"/>
      <c r="JW10" s="17"/>
      <c r="JX10" s="17">
        <v>1</v>
      </c>
      <c r="JY10" s="17"/>
      <c r="JZ10" s="17">
        <v>2</v>
      </c>
      <c r="KA10" s="17"/>
      <c r="KB10" s="17"/>
      <c r="KC10" s="17">
        <v>2</v>
      </c>
      <c r="KD10" s="17">
        <v>2</v>
      </c>
      <c r="KE10" s="17"/>
      <c r="KF10" s="17">
        <v>1</v>
      </c>
      <c r="KG10" s="17">
        <v>1</v>
      </c>
      <c r="KH10" s="17">
        <v>2</v>
      </c>
      <c r="KI10" s="17"/>
      <c r="KJ10" s="17">
        <v>2</v>
      </c>
      <c r="KK10" s="17"/>
      <c r="KL10" s="17">
        <v>2</v>
      </c>
      <c r="KM10" s="17">
        <v>2</v>
      </c>
      <c r="KN10" s="17"/>
      <c r="KO10" s="17"/>
      <c r="KP10" s="17">
        <v>2</v>
      </c>
      <c r="KQ10" s="17">
        <v>1</v>
      </c>
      <c r="KR10" s="17"/>
      <c r="KS10" s="17"/>
      <c r="KT10" s="17"/>
      <c r="KU10" s="17"/>
      <c r="KV10" s="17">
        <v>1</v>
      </c>
      <c r="KW10" s="17">
        <v>2</v>
      </c>
      <c r="KX10" s="17"/>
      <c r="KY10" s="17">
        <v>1</v>
      </c>
      <c r="KZ10" s="17"/>
      <c r="LA10" s="17"/>
      <c r="LB10" s="17"/>
      <c r="LC10" s="17">
        <v>1</v>
      </c>
      <c r="LD10" s="17"/>
      <c r="LE10" s="17"/>
      <c r="LF10" s="17">
        <v>1</v>
      </c>
      <c r="LG10" s="17"/>
      <c r="LH10" s="17"/>
      <c r="LI10" s="17">
        <v>2</v>
      </c>
      <c r="LJ10" s="17"/>
      <c r="LK10" s="17"/>
      <c r="LL10" s="17">
        <v>1</v>
      </c>
      <c r="LM10" s="17"/>
      <c r="LN10" s="17">
        <v>1</v>
      </c>
      <c r="LO10" s="17">
        <v>1</v>
      </c>
      <c r="LP10" s="17">
        <v>1</v>
      </c>
      <c r="LQ10" s="17">
        <v>1</v>
      </c>
      <c r="LR10" s="17"/>
      <c r="LS10" s="17">
        <v>2</v>
      </c>
      <c r="LT10" s="17"/>
      <c r="LU10" s="17"/>
      <c r="LV10" s="17">
        <v>2</v>
      </c>
      <c r="LW10" s="17"/>
      <c r="LX10" s="17">
        <v>1</v>
      </c>
      <c r="LY10" s="17"/>
      <c r="LZ10" s="17"/>
      <c r="MA10" s="17"/>
      <c r="MB10" s="17"/>
      <c r="MC10" s="17"/>
      <c r="MD10" s="17">
        <v>1</v>
      </c>
      <c r="ME10" s="17"/>
      <c r="MF10" s="17"/>
      <c r="MG10" s="17">
        <v>1</v>
      </c>
      <c r="MH10" s="17"/>
      <c r="MI10" s="17"/>
      <c r="MJ10" s="17"/>
      <c r="MK10" s="17"/>
      <c r="ML10" s="17">
        <v>1</v>
      </c>
      <c r="MM10" s="17">
        <v>1</v>
      </c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>
        <v>1</v>
      </c>
      <c r="NC10" s="17"/>
      <c r="ND10" s="17"/>
      <c r="NE10" s="17"/>
      <c r="NF10" s="17"/>
      <c r="NG10" s="17">
        <v>1</v>
      </c>
      <c r="NH10" s="17">
        <v>1</v>
      </c>
      <c r="NI10" s="17">
        <v>1</v>
      </c>
      <c r="NJ10" s="17">
        <v>2</v>
      </c>
      <c r="NK10" s="17"/>
      <c r="NL10" s="17"/>
      <c r="NM10" s="17">
        <v>1</v>
      </c>
      <c r="NN10" s="17"/>
      <c r="NO10" s="17"/>
      <c r="NP10" s="17"/>
      <c r="NQ10" s="17"/>
      <c r="NR10" s="17">
        <v>1</v>
      </c>
      <c r="NS10" s="17"/>
      <c r="NT10" s="17"/>
      <c r="NU10" s="17"/>
      <c r="NV10" s="17">
        <v>2</v>
      </c>
      <c r="NW10" s="17"/>
      <c r="NX10" s="17"/>
      <c r="NY10" s="17"/>
      <c r="NZ10" s="17"/>
      <c r="OA10" s="17">
        <v>2</v>
      </c>
      <c r="OB10" s="17"/>
      <c r="OC10" s="17"/>
      <c r="OD10" s="17"/>
      <c r="OE10" s="17"/>
      <c r="OF10" s="17"/>
      <c r="OG10" s="17"/>
      <c r="OH10" s="17"/>
      <c r="OI10" s="17"/>
      <c r="OJ10" s="17"/>
      <c r="OK10" s="17">
        <v>2</v>
      </c>
      <c r="OL10" s="17"/>
      <c r="OM10" s="17"/>
      <c r="ON10" s="17"/>
      <c r="OO10" s="17"/>
      <c r="OP10" s="17"/>
      <c r="OQ10" s="17"/>
      <c r="OR10" s="17">
        <v>2</v>
      </c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>
        <v>1</v>
      </c>
      <c r="PJ10" s="17"/>
      <c r="PK10" s="17">
        <v>1</v>
      </c>
      <c r="PL10" s="17"/>
      <c r="PM10" s="17"/>
      <c r="PN10" s="17">
        <v>2</v>
      </c>
      <c r="PO10" s="17"/>
      <c r="PP10" s="17"/>
      <c r="PQ10" s="17">
        <v>2</v>
      </c>
      <c r="PR10" s="17"/>
      <c r="PS10" s="17"/>
      <c r="PT10" s="17"/>
      <c r="PU10" s="17"/>
      <c r="PV10" s="17"/>
      <c r="PW10" s="17"/>
      <c r="PX10" s="17" t="s">
        <v>506</v>
      </c>
      <c r="PY10" s="17" t="s">
        <v>507</v>
      </c>
      <c r="PZ10" s="17"/>
      <c r="QA10" s="17" t="s">
        <v>506</v>
      </c>
      <c r="QB10" s="17" t="s">
        <v>506</v>
      </c>
      <c r="QC10" s="17" t="s">
        <v>507</v>
      </c>
      <c r="QD10" s="17" t="s">
        <v>507</v>
      </c>
      <c r="QE10" s="17" t="s">
        <v>507</v>
      </c>
      <c r="QF10" s="17" t="s">
        <v>506</v>
      </c>
      <c r="QG10" s="17" t="s">
        <v>507</v>
      </c>
      <c r="QH10" s="17" t="s">
        <v>507</v>
      </c>
      <c r="QI10" s="17">
        <v>1</v>
      </c>
      <c r="QJ10" s="17">
        <v>1</v>
      </c>
      <c r="QK10" s="17">
        <v>1</v>
      </c>
      <c r="QL10" s="17">
        <v>1</v>
      </c>
      <c r="QM10" s="17">
        <v>1</v>
      </c>
      <c r="QN10" s="17">
        <v>1</v>
      </c>
      <c r="QO10" s="17">
        <v>1</v>
      </c>
      <c r="QP10" s="17">
        <v>1</v>
      </c>
      <c r="QQ10" s="17">
        <v>1</v>
      </c>
      <c r="QR10" s="17">
        <v>1</v>
      </c>
      <c r="QS10" s="17">
        <v>1</v>
      </c>
      <c r="QT10" s="17">
        <v>1</v>
      </c>
      <c r="QU10" s="17">
        <v>0</v>
      </c>
      <c r="QV10" s="17">
        <v>0</v>
      </c>
      <c r="QW10" s="17">
        <v>0</v>
      </c>
      <c r="QX10" s="17">
        <v>1</v>
      </c>
      <c r="QY10" s="17">
        <v>1</v>
      </c>
      <c r="QZ10" s="17">
        <v>1</v>
      </c>
      <c r="RA10" s="17">
        <v>1</v>
      </c>
      <c r="RB10" s="17">
        <v>1</v>
      </c>
      <c r="RC10" s="17">
        <v>1</v>
      </c>
      <c r="RD10" s="17">
        <v>0</v>
      </c>
      <c r="RE10" s="17">
        <v>1</v>
      </c>
      <c r="RF10" s="17">
        <v>0</v>
      </c>
      <c r="RG10" s="17">
        <v>1</v>
      </c>
      <c r="RH10" s="17">
        <v>0</v>
      </c>
      <c r="RI10" s="17">
        <v>0</v>
      </c>
      <c r="RJ10" s="17">
        <v>0</v>
      </c>
      <c r="RK10" s="17">
        <v>0</v>
      </c>
      <c r="RL10" s="17">
        <v>0</v>
      </c>
      <c r="RM10" s="17">
        <v>0</v>
      </c>
      <c r="RN10" s="17">
        <v>1</v>
      </c>
      <c r="RO10" s="17">
        <v>0</v>
      </c>
      <c r="RP10" s="17">
        <v>0</v>
      </c>
      <c r="RQ10" s="17">
        <v>1</v>
      </c>
      <c r="RR10" s="17">
        <v>0</v>
      </c>
      <c r="RS10" s="17">
        <v>0</v>
      </c>
      <c r="RT10" s="17">
        <v>1</v>
      </c>
      <c r="RU10" s="17">
        <v>1</v>
      </c>
      <c r="RV10" s="17">
        <v>0</v>
      </c>
      <c r="RW10" s="17">
        <v>1</v>
      </c>
      <c r="RX10" s="17">
        <v>1</v>
      </c>
      <c r="RY10" s="17">
        <v>0</v>
      </c>
      <c r="RZ10" s="17">
        <v>1</v>
      </c>
      <c r="SA10" s="17">
        <v>1</v>
      </c>
      <c r="SB10" s="17">
        <v>0</v>
      </c>
      <c r="SC10" s="17">
        <v>0</v>
      </c>
      <c r="SD10" s="17">
        <v>1</v>
      </c>
      <c r="SE10" s="17">
        <v>1</v>
      </c>
      <c r="SF10" s="17">
        <v>0</v>
      </c>
      <c r="SG10" s="17">
        <v>1</v>
      </c>
      <c r="SH10" s="17"/>
      <c r="SI10" s="17">
        <v>10010</v>
      </c>
      <c r="SJ10" s="19">
        <f t="shared" si="3"/>
        <v>65</v>
      </c>
      <c r="SK10" s="19">
        <f t="shared" si="0"/>
        <v>140</v>
      </c>
      <c r="SL10" s="19">
        <f t="shared" si="1"/>
        <v>75</v>
      </c>
      <c r="SM10" s="9">
        <v>10010</v>
      </c>
      <c r="SN10" s="9" t="s">
        <v>504</v>
      </c>
      <c r="SO10" s="10">
        <v>1</v>
      </c>
      <c r="SP10" s="9">
        <v>1</v>
      </c>
      <c r="SQ10" s="11" t="s">
        <v>517</v>
      </c>
      <c r="SR10" s="9">
        <v>18</v>
      </c>
      <c r="SS10" s="28" t="s">
        <v>563</v>
      </c>
      <c r="ST10" s="28">
        <v>18</v>
      </c>
      <c r="SU10" s="28">
        <v>141</v>
      </c>
      <c r="SV10" s="28">
        <v>13</v>
      </c>
      <c r="SW10" s="28">
        <v>76</v>
      </c>
      <c r="SX10" s="28">
        <v>47</v>
      </c>
      <c r="SY10" s="29">
        <v>43</v>
      </c>
      <c r="SZ10" s="30">
        <v>28</v>
      </c>
      <c r="TA10" s="31">
        <v>15</v>
      </c>
      <c r="TB10" s="31">
        <v>12</v>
      </c>
    </row>
    <row r="11" spans="1:522" ht="15.75" customHeight="1" x14ac:dyDescent="0.2">
      <c r="A11" s="17">
        <v>10011</v>
      </c>
      <c r="B11" s="17" t="s">
        <v>501</v>
      </c>
      <c r="C11" s="17" t="s">
        <v>502</v>
      </c>
      <c r="D11" s="17" t="s">
        <v>503</v>
      </c>
      <c r="E11" s="17" t="s">
        <v>509</v>
      </c>
      <c r="F11" s="18">
        <v>37954</v>
      </c>
      <c r="G11" s="18">
        <v>38463</v>
      </c>
      <c r="H11" s="14">
        <f t="shared" si="2"/>
        <v>16</v>
      </c>
      <c r="I11" s="17" t="s">
        <v>505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/>
      <c r="Q11" s="17">
        <v>1</v>
      </c>
      <c r="R11" s="17">
        <v>1</v>
      </c>
      <c r="S11" s="17">
        <v>1</v>
      </c>
      <c r="T11" s="17">
        <v>1</v>
      </c>
      <c r="U11" s="17">
        <v>1</v>
      </c>
      <c r="V11" s="17">
        <v>1</v>
      </c>
      <c r="W11" s="17">
        <v>1</v>
      </c>
      <c r="X11" s="17">
        <v>1</v>
      </c>
      <c r="Y11" s="17">
        <v>1</v>
      </c>
      <c r="Z11" s="17">
        <v>1</v>
      </c>
      <c r="AA11" s="17">
        <v>1</v>
      </c>
      <c r="AB11" s="17"/>
      <c r="AC11" s="17">
        <v>1</v>
      </c>
      <c r="AD11" s="17"/>
      <c r="AE11" s="17">
        <v>1</v>
      </c>
      <c r="AF11" s="17">
        <v>1</v>
      </c>
      <c r="AG11" s="17"/>
      <c r="AH11" s="17">
        <v>1</v>
      </c>
      <c r="AI11" s="17"/>
      <c r="AJ11" s="17">
        <v>1</v>
      </c>
      <c r="AK11" s="17">
        <v>1</v>
      </c>
      <c r="AL11" s="17">
        <v>1</v>
      </c>
      <c r="AM11" s="17">
        <v>1</v>
      </c>
      <c r="AN11" s="17">
        <v>1</v>
      </c>
      <c r="AO11" s="17" t="s">
        <v>507</v>
      </c>
      <c r="AP11" s="17" t="s">
        <v>506</v>
      </c>
      <c r="AQ11" s="17">
        <v>2</v>
      </c>
      <c r="AR11" s="17">
        <v>1</v>
      </c>
      <c r="AS11" s="17">
        <v>1</v>
      </c>
      <c r="AT11" s="17">
        <v>1</v>
      </c>
      <c r="AU11" s="17">
        <v>2</v>
      </c>
      <c r="AV11" s="17">
        <v>2</v>
      </c>
      <c r="AW11" s="17">
        <v>2</v>
      </c>
      <c r="AX11" s="17">
        <v>2</v>
      </c>
      <c r="AY11" s="17">
        <v>2</v>
      </c>
      <c r="AZ11" s="17">
        <v>1</v>
      </c>
      <c r="BA11" s="17">
        <v>1</v>
      </c>
      <c r="BB11" s="17">
        <v>2</v>
      </c>
      <c r="BC11" s="17">
        <v>2</v>
      </c>
      <c r="BD11" s="17">
        <v>1</v>
      </c>
      <c r="BE11" s="17">
        <v>1</v>
      </c>
      <c r="BF11" s="17">
        <v>2</v>
      </c>
      <c r="BG11" s="17">
        <v>1</v>
      </c>
      <c r="BH11" s="17">
        <v>1</v>
      </c>
      <c r="BI11" s="17">
        <v>1</v>
      </c>
      <c r="BJ11" s="17">
        <v>2</v>
      </c>
      <c r="BK11" s="17">
        <v>1</v>
      </c>
      <c r="BL11" s="17">
        <v>1</v>
      </c>
      <c r="BM11" s="17">
        <v>1</v>
      </c>
      <c r="BN11" s="17">
        <v>2</v>
      </c>
      <c r="BO11" s="17"/>
      <c r="BP11" s="17">
        <v>2</v>
      </c>
      <c r="BQ11" s="17">
        <v>2</v>
      </c>
      <c r="BR11" s="17">
        <v>2</v>
      </c>
      <c r="BS11" s="17">
        <v>1</v>
      </c>
      <c r="BT11" s="17">
        <v>1</v>
      </c>
      <c r="BU11" s="17">
        <v>1</v>
      </c>
      <c r="BV11" s="17">
        <v>2</v>
      </c>
      <c r="BW11" s="17">
        <v>2</v>
      </c>
      <c r="BX11" s="17">
        <v>1</v>
      </c>
      <c r="BY11" s="17">
        <v>2</v>
      </c>
      <c r="BZ11" s="17">
        <v>2</v>
      </c>
      <c r="CA11" s="17">
        <v>1</v>
      </c>
      <c r="CB11" s="17"/>
      <c r="CC11" s="17">
        <v>1</v>
      </c>
      <c r="CD11" s="17">
        <v>1</v>
      </c>
      <c r="CE11" s="17"/>
      <c r="CF11" s="17">
        <v>2</v>
      </c>
      <c r="CG11" s="17">
        <v>1</v>
      </c>
      <c r="CH11" s="17">
        <v>1</v>
      </c>
      <c r="CI11" s="17">
        <v>1</v>
      </c>
      <c r="CJ11" s="17">
        <v>2</v>
      </c>
      <c r="CK11" s="17">
        <v>1</v>
      </c>
      <c r="CL11" s="17">
        <v>1</v>
      </c>
      <c r="CM11" s="17">
        <v>1</v>
      </c>
      <c r="CN11" s="17">
        <v>1</v>
      </c>
      <c r="CO11" s="17">
        <v>1</v>
      </c>
      <c r="CP11" s="17">
        <v>1</v>
      </c>
      <c r="CQ11" s="17"/>
      <c r="CR11" s="17"/>
      <c r="CS11" s="17">
        <v>1</v>
      </c>
      <c r="CT11" s="17"/>
      <c r="CU11" s="17"/>
      <c r="CV11" s="17">
        <v>2</v>
      </c>
      <c r="CW11" s="17">
        <v>2</v>
      </c>
      <c r="CX11" s="17">
        <v>1</v>
      </c>
      <c r="CY11" s="17">
        <v>2</v>
      </c>
      <c r="CZ11" s="17">
        <v>2</v>
      </c>
      <c r="DA11" s="17">
        <v>1</v>
      </c>
      <c r="DB11" s="17">
        <v>1</v>
      </c>
      <c r="DC11" s="17">
        <v>1</v>
      </c>
      <c r="DD11" s="17">
        <v>2</v>
      </c>
      <c r="DE11" s="17">
        <v>2</v>
      </c>
      <c r="DF11" s="17">
        <v>1</v>
      </c>
      <c r="DG11" s="17"/>
      <c r="DH11" s="17"/>
      <c r="DI11" s="17"/>
      <c r="DJ11" s="17">
        <v>1</v>
      </c>
      <c r="DK11" s="17"/>
      <c r="DL11" s="17"/>
      <c r="DM11" s="17">
        <v>2</v>
      </c>
      <c r="DN11" s="17"/>
      <c r="DO11" s="17"/>
      <c r="DP11" s="17">
        <v>2</v>
      </c>
      <c r="DQ11" s="17">
        <v>1</v>
      </c>
      <c r="DR11" s="17">
        <v>2</v>
      </c>
      <c r="DS11" s="17">
        <v>1</v>
      </c>
      <c r="DT11" s="17"/>
      <c r="DU11" s="17">
        <v>2</v>
      </c>
      <c r="DV11" s="17"/>
      <c r="DW11" s="17">
        <v>2</v>
      </c>
      <c r="DX11" s="17"/>
      <c r="DY11" s="17">
        <v>2</v>
      </c>
      <c r="DZ11" s="17"/>
      <c r="EA11" s="17">
        <v>1</v>
      </c>
      <c r="EB11" s="17"/>
      <c r="EC11" s="17"/>
      <c r="ED11" s="17">
        <v>1</v>
      </c>
      <c r="EE11" s="17"/>
      <c r="EF11" s="17">
        <v>1</v>
      </c>
      <c r="EG11" s="17">
        <v>2</v>
      </c>
      <c r="EH11" s="17">
        <v>1</v>
      </c>
      <c r="EI11" s="17">
        <v>1</v>
      </c>
      <c r="EJ11" s="17">
        <v>1</v>
      </c>
      <c r="EK11" s="17">
        <v>1</v>
      </c>
      <c r="EL11" s="17">
        <v>1</v>
      </c>
      <c r="EM11" s="17">
        <v>2</v>
      </c>
      <c r="EN11" s="17">
        <v>1</v>
      </c>
      <c r="EO11" s="17">
        <v>2</v>
      </c>
      <c r="EP11" s="17">
        <v>1</v>
      </c>
      <c r="EQ11" s="17">
        <v>1</v>
      </c>
      <c r="ER11" s="17">
        <v>2</v>
      </c>
      <c r="ES11" s="17">
        <v>1</v>
      </c>
      <c r="ET11" s="17">
        <v>1</v>
      </c>
      <c r="EU11" s="17">
        <v>1</v>
      </c>
      <c r="EV11" s="17">
        <v>1</v>
      </c>
      <c r="EW11" s="17">
        <v>1</v>
      </c>
      <c r="EX11" s="17">
        <v>1</v>
      </c>
      <c r="EY11" s="17">
        <v>1</v>
      </c>
      <c r="EZ11" s="17">
        <v>1</v>
      </c>
      <c r="FA11" s="17">
        <v>1</v>
      </c>
      <c r="FB11" s="17">
        <v>1</v>
      </c>
      <c r="FC11" s="17">
        <v>1</v>
      </c>
      <c r="FD11" s="17">
        <v>1</v>
      </c>
      <c r="FE11" s="17">
        <v>1</v>
      </c>
      <c r="FF11" s="17">
        <v>1</v>
      </c>
      <c r="FG11" s="17">
        <v>1</v>
      </c>
      <c r="FH11" s="17">
        <v>1</v>
      </c>
      <c r="FI11" s="17">
        <v>1</v>
      </c>
      <c r="FJ11" s="17">
        <v>1</v>
      </c>
      <c r="FK11" s="17">
        <v>1</v>
      </c>
      <c r="FL11" s="17">
        <v>1</v>
      </c>
      <c r="FM11" s="17">
        <v>1</v>
      </c>
      <c r="FN11" s="17">
        <v>1</v>
      </c>
      <c r="FO11" s="17">
        <v>2</v>
      </c>
      <c r="FP11" s="17">
        <v>2</v>
      </c>
      <c r="FQ11" s="17">
        <v>1</v>
      </c>
      <c r="FR11" s="17">
        <v>1</v>
      </c>
      <c r="FS11" s="17">
        <v>1</v>
      </c>
      <c r="FT11" s="17">
        <v>1</v>
      </c>
      <c r="FU11" s="17">
        <v>1</v>
      </c>
      <c r="FV11" s="17">
        <v>2</v>
      </c>
      <c r="FW11" s="17">
        <v>1</v>
      </c>
      <c r="FX11" s="17">
        <v>1</v>
      </c>
      <c r="FY11" s="17"/>
      <c r="FZ11" s="17">
        <v>1</v>
      </c>
      <c r="GA11" s="17">
        <v>1</v>
      </c>
      <c r="GB11" s="17">
        <v>1</v>
      </c>
      <c r="GC11" s="17">
        <v>1</v>
      </c>
      <c r="GD11" s="17">
        <v>1</v>
      </c>
      <c r="GE11" s="17">
        <v>1</v>
      </c>
      <c r="GF11" s="17"/>
      <c r="GG11" s="17">
        <v>1</v>
      </c>
      <c r="GH11" s="17">
        <v>1</v>
      </c>
      <c r="GI11" s="17">
        <v>1</v>
      </c>
      <c r="GJ11" s="17"/>
      <c r="GK11" s="17">
        <v>1</v>
      </c>
      <c r="GL11" s="17">
        <v>1</v>
      </c>
      <c r="GM11" s="17"/>
      <c r="GN11" s="17">
        <v>1</v>
      </c>
      <c r="GO11" s="17"/>
      <c r="GP11" s="17">
        <v>1</v>
      </c>
      <c r="GQ11" s="17">
        <v>1</v>
      </c>
      <c r="GR11" s="17">
        <v>1</v>
      </c>
      <c r="GS11" s="17">
        <v>1</v>
      </c>
      <c r="GT11" s="17">
        <v>1</v>
      </c>
      <c r="GU11" s="17">
        <v>1</v>
      </c>
      <c r="GV11" s="17"/>
      <c r="GW11" s="17">
        <v>1</v>
      </c>
      <c r="GX11" s="17">
        <v>1</v>
      </c>
      <c r="GY11" s="17">
        <v>1</v>
      </c>
      <c r="GZ11" s="17"/>
      <c r="HA11" s="17">
        <v>1</v>
      </c>
      <c r="HB11" s="17"/>
      <c r="HC11" s="17">
        <v>1</v>
      </c>
      <c r="HD11" s="17"/>
      <c r="HE11" s="17">
        <v>1</v>
      </c>
      <c r="HF11" s="17">
        <v>1</v>
      </c>
      <c r="HG11" s="17">
        <v>1</v>
      </c>
      <c r="HH11" s="17">
        <v>1</v>
      </c>
      <c r="HI11" s="17">
        <v>1</v>
      </c>
      <c r="HJ11" s="17">
        <v>1</v>
      </c>
      <c r="HK11" s="17">
        <v>1</v>
      </c>
      <c r="HL11" s="17">
        <v>1</v>
      </c>
      <c r="HM11" s="17">
        <v>1</v>
      </c>
      <c r="HN11" s="17"/>
      <c r="HO11" s="17">
        <v>1</v>
      </c>
      <c r="HP11" s="17">
        <v>1</v>
      </c>
      <c r="HQ11" s="17"/>
      <c r="HR11" s="17"/>
      <c r="HS11" s="17"/>
      <c r="HT11" s="17"/>
      <c r="HU11" s="17">
        <v>1</v>
      </c>
      <c r="HV11" s="17">
        <v>1</v>
      </c>
      <c r="HW11" s="17"/>
      <c r="HX11" s="17">
        <v>1</v>
      </c>
      <c r="HY11" s="17"/>
      <c r="HZ11" s="17">
        <v>1</v>
      </c>
      <c r="IA11" s="17">
        <v>1</v>
      </c>
      <c r="IB11" s="17"/>
      <c r="IC11" s="17">
        <v>1</v>
      </c>
      <c r="ID11" s="17">
        <v>1</v>
      </c>
      <c r="IE11" s="17"/>
      <c r="IF11" s="17">
        <v>1</v>
      </c>
      <c r="IG11" s="17">
        <v>1</v>
      </c>
      <c r="IH11" s="17">
        <v>1</v>
      </c>
      <c r="II11" s="17">
        <v>1</v>
      </c>
      <c r="IJ11" s="17">
        <v>1</v>
      </c>
      <c r="IK11" s="17">
        <v>1</v>
      </c>
      <c r="IL11" s="17">
        <v>1</v>
      </c>
      <c r="IM11" s="17">
        <v>1</v>
      </c>
      <c r="IN11" s="17"/>
      <c r="IO11" s="17">
        <v>2</v>
      </c>
      <c r="IP11" s="17">
        <v>1</v>
      </c>
      <c r="IQ11" s="17"/>
      <c r="IR11" s="17">
        <v>1</v>
      </c>
      <c r="IS11" s="17">
        <v>1</v>
      </c>
      <c r="IT11" s="17">
        <v>1</v>
      </c>
      <c r="IU11" s="17"/>
      <c r="IV11" s="17"/>
      <c r="IW11" s="17">
        <v>1</v>
      </c>
      <c r="IX11" s="17">
        <v>1</v>
      </c>
      <c r="IY11" s="17">
        <v>1</v>
      </c>
      <c r="IZ11" s="17">
        <v>1</v>
      </c>
      <c r="JA11" s="17"/>
      <c r="JB11" s="17">
        <v>1</v>
      </c>
      <c r="JC11" s="17"/>
      <c r="JD11" s="17">
        <v>2</v>
      </c>
      <c r="JE11" s="17">
        <v>2</v>
      </c>
      <c r="JF11" s="17"/>
      <c r="JG11" s="17"/>
      <c r="JH11" s="17">
        <v>1</v>
      </c>
      <c r="JI11" s="17"/>
      <c r="JJ11" s="17"/>
      <c r="JK11" s="17">
        <v>2</v>
      </c>
      <c r="JL11" s="17">
        <v>1</v>
      </c>
      <c r="JM11" s="17">
        <v>2</v>
      </c>
      <c r="JN11" s="17">
        <v>1</v>
      </c>
      <c r="JO11" s="17">
        <v>1</v>
      </c>
      <c r="JP11" s="17">
        <v>1</v>
      </c>
      <c r="JQ11" s="17">
        <v>2</v>
      </c>
      <c r="JR11" s="17">
        <v>1</v>
      </c>
      <c r="JS11" s="17">
        <v>1</v>
      </c>
      <c r="JT11" s="17">
        <v>1</v>
      </c>
      <c r="JU11" s="17"/>
      <c r="JV11" s="17"/>
      <c r="JW11" s="17"/>
      <c r="JX11" s="17">
        <v>2</v>
      </c>
      <c r="JY11" s="17">
        <v>1</v>
      </c>
      <c r="JZ11" s="17">
        <v>2</v>
      </c>
      <c r="KA11" s="17">
        <v>1</v>
      </c>
      <c r="KB11" s="17">
        <v>1</v>
      </c>
      <c r="KC11" s="17">
        <v>1</v>
      </c>
      <c r="KD11" s="17">
        <v>2</v>
      </c>
      <c r="KE11" s="17">
        <v>1</v>
      </c>
      <c r="KF11" s="17">
        <v>2</v>
      </c>
      <c r="KG11" s="17">
        <v>2</v>
      </c>
      <c r="KH11" s="17">
        <v>2</v>
      </c>
      <c r="KI11" s="17">
        <v>1</v>
      </c>
      <c r="KJ11" s="17">
        <v>1</v>
      </c>
      <c r="KK11" s="17">
        <v>1</v>
      </c>
      <c r="KL11" s="17">
        <v>1</v>
      </c>
      <c r="KM11" s="17">
        <v>1</v>
      </c>
      <c r="KN11" s="17">
        <v>1</v>
      </c>
      <c r="KO11" s="17"/>
      <c r="KP11" s="17"/>
      <c r="KQ11" s="17">
        <v>1</v>
      </c>
      <c r="KR11" s="17">
        <v>1</v>
      </c>
      <c r="KS11" s="17">
        <v>1</v>
      </c>
      <c r="KT11" s="17">
        <v>1</v>
      </c>
      <c r="KU11" s="17">
        <v>1</v>
      </c>
      <c r="KV11" s="17">
        <v>1</v>
      </c>
      <c r="KW11" s="17">
        <v>1</v>
      </c>
      <c r="KX11" s="17">
        <v>1</v>
      </c>
      <c r="KY11" s="17">
        <v>1</v>
      </c>
      <c r="KZ11" s="17"/>
      <c r="LA11" s="17">
        <v>2</v>
      </c>
      <c r="LB11" s="17">
        <v>1</v>
      </c>
      <c r="LC11" s="17">
        <v>2</v>
      </c>
      <c r="LD11" s="17">
        <v>1</v>
      </c>
      <c r="LE11" s="17">
        <v>1</v>
      </c>
      <c r="LF11" s="17">
        <v>1</v>
      </c>
      <c r="LG11" s="17">
        <v>1</v>
      </c>
      <c r="LH11" s="17">
        <v>1</v>
      </c>
      <c r="LI11" s="17">
        <v>1</v>
      </c>
      <c r="LJ11" s="17">
        <v>2</v>
      </c>
      <c r="LK11" s="17"/>
      <c r="LL11" s="17">
        <v>1</v>
      </c>
      <c r="LM11" s="17"/>
      <c r="LN11" s="17"/>
      <c r="LO11" s="17"/>
      <c r="LP11" s="17">
        <v>1</v>
      </c>
      <c r="LQ11" s="17">
        <v>1</v>
      </c>
      <c r="LR11" s="17">
        <v>1</v>
      </c>
      <c r="LS11" s="17">
        <v>1</v>
      </c>
      <c r="LT11" s="17">
        <v>1</v>
      </c>
      <c r="LU11" s="17"/>
      <c r="LV11" s="17"/>
      <c r="LW11" s="17"/>
      <c r="LX11" s="17">
        <v>1</v>
      </c>
      <c r="LY11" s="17">
        <v>1</v>
      </c>
      <c r="LZ11" s="17">
        <v>1</v>
      </c>
      <c r="MA11" s="17">
        <v>1</v>
      </c>
      <c r="MB11" s="17">
        <v>1</v>
      </c>
      <c r="MC11" s="17">
        <v>1</v>
      </c>
      <c r="MD11" s="17">
        <v>1</v>
      </c>
      <c r="ME11" s="17">
        <v>2</v>
      </c>
      <c r="MF11" s="17">
        <v>1</v>
      </c>
      <c r="MG11" s="17">
        <v>1</v>
      </c>
      <c r="MH11" s="17">
        <v>1</v>
      </c>
      <c r="MI11" s="17"/>
      <c r="MJ11" s="17">
        <v>1</v>
      </c>
      <c r="MK11" s="17">
        <v>1</v>
      </c>
      <c r="ML11" s="17">
        <v>1</v>
      </c>
      <c r="MM11" s="17">
        <v>1</v>
      </c>
      <c r="MN11" s="17">
        <v>1</v>
      </c>
      <c r="MO11" s="17"/>
      <c r="MP11" s="17">
        <v>1</v>
      </c>
      <c r="MQ11" s="17">
        <v>2</v>
      </c>
      <c r="MR11" s="17">
        <v>1</v>
      </c>
      <c r="MS11" s="17"/>
      <c r="MT11" s="17"/>
      <c r="MU11" s="17">
        <v>1</v>
      </c>
      <c r="MV11" s="17"/>
      <c r="MW11" s="17"/>
      <c r="MX11" s="17">
        <v>1</v>
      </c>
      <c r="MY11" s="17"/>
      <c r="MZ11" s="17"/>
      <c r="NA11" s="17"/>
      <c r="NB11" s="17">
        <v>2</v>
      </c>
      <c r="NC11" s="17">
        <v>1</v>
      </c>
      <c r="ND11" s="17">
        <v>1</v>
      </c>
      <c r="NE11" s="17">
        <v>1</v>
      </c>
      <c r="NF11" s="17"/>
      <c r="NG11" s="17">
        <v>1</v>
      </c>
      <c r="NH11" s="17">
        <v>1</v>
      </c>
      <c r="NI11" s="17"/>
      <c r="NJ11" s="17">
        <v>1</v>
      </c>
      <c r="NK11" s="17">
        <v>1</v>
      </c>
      <c r="NL11" s="17"/>
      <c r="NM11" s="17">
        <v>1</v>
      </c>
      <c r="NN11" s="17"/>
      <c r="NO11" s="17">
        <v>1</v>
      </c>
      <c r="NP11" s="17">
        <v>1</v>
      </c>
      <c r="NQ11" s="17"/>
      <c r="NR11" s="17">
        <v>2</v>
      </c>
      <c r="NS11" s="17">
        <v>1</v>
      </c>
      <c r="NT11" s="17">
        <v>2</v>
      </c>
      <c r="NU11" s="17"/>
      <c r="NV11" s="17">
        <v>2</v>
      </c>
      <c r="NW11" s="17">
        <v>2</v>
      </c>
      <c r="NX11" s="17">
        <v>2</v>
      </c>
      <c r="NY11" s="17">
        <v>1</v>
      </c>
      <c r="NZ11" s="17">
        <v>1</v>
      </c>
      <c r="OA11" s="17">
        <v>1</v>
      </c>
      <c r="OB11" s="17"/>
      <c r="OC11" s="17">
        <v>1</v>
      </c>
      <c r="OD11" s="17"/>
      <c r="OE11" s="17"/>
      <c r="OF11" s="17">
        <v>1</v>
      </c>
      <c r="OG11" s="17">
        <v>2</v>
      </c>
      <c r="OH11" s="17">
        <v>1</v>
      </c>
      <c r="OI11" s="17">
        <v>1</v>
      </c>
      <c r="OJ11" s="17">
        <v>1</v>
      </c>
      <c r="OK11" s="17">
        <v>1</v>
      </c>
      <c r="OL11" s="17">
        <v>1</v>
      </c>
      <c r="OM11" s="17">
        <v>1</v>
      </c>
      <c r="ON11" s="17">
        <v>1</v>
      </c>
      <c r="OO11" s="17">
        <v>1</v>
      </c>
      <c r="OP11" s="17">
        <v>1</v>
      </c>
      <c r="OQ11" s="17">
        <v>1</v>
      </c>
      <c r="OR11" s="17">
        <v>1</v>
      </c>
      <c r="OS11" s="17">
        <v>1</v>
      </c>
      <c r="OT11" s="17">
        <v>1</v>
      </c>
      <c r="OU11" s="17">
        <v>1</v>
      </c>
      <c r="OV11" s="17">
        <v>1</v>
      </c>
      <c r="OW11" s="17">
        <v>1</v>
      </c>
      <c r="OX11" s="17">
        <v>1</v>
      </c>
      <c r="OY11" s="17">
        <v>1</v>
      </c>
      <c r="OZ11" s="17"/>
      <c r="PA11" s="17">
        <v>1</v>
      </c>
      <c r="PB11" s="17">
        <v>1</v>
      </c>
      <c r="PC11" s="17"/>
      <c r="PD11" s="17"/>
      <c r="PE11" s="17"/>
      <c r="PF11" s="17">
        <v>2</v>
      </c>
      <c r="PG11" s="17">
        <v>1</v>
      </c>
      <c r="PH11" s="17"/>
      <c r="PI11" s="17">
        <v>1</v>
      </c>
      <c r="PJ11" s="17">
        <v>1</v>
      </c>
      <c r="PK11" s="17"/>
      <c r="PL11" s="17">
        <v>1</v>
      </c>
      <c r="PM11" s="17"/>
      <c r="PN11" s="17"/>
      <c r="PO11" s="17">
        <v>1</v>
      </c>
      <c r="PP11" s="17">
        <v>1</v>
      </c>
      <c r="PQ11" s="17">
        <v>2</v>
      </c>
      <c r="PR11" s="17">
        <v>1</v>
      </c>
      <c r="PS11" s="17">
        <v>1</v>
      </c>
      <c r="PT11" s="17">
        <v>1</v>
      </c>
      <c r="PU11" s="17">
        <v>1</v>
      </c>
      <c r="PV11" s="17">
        <v>1</v>
      </c>
      <c r="PW11" s="17"/>
      <c r="PX11" s="17" t="s">
        <v>506</v>
      </c>
      <c r="PY11" s="17" t="s">
        <v>507</v>
      </c>
      <c r="PZ11" s="17"/>
      <c r="QA11" s="17" t="s">
        <v>506</v>
      </c>
      <c r="QB11" s="17"/>
      <c r="QC11" s="17" t="s">
        <v>507</v>
      </c>
      <c r="QD11" s="17" t="s">
        <v>508</v>
      </c>
      <c r="QE11" s="17"/>
      <c r="QF11" s="17" t="s">
        <v>507</v>
      </c>
      <c r="QG11" s="17" t="s">
        <v>507</v>
      </c>
      <c r="QH11" s="17"/>
      <c r="QI11" s="17">
        <v>1</v>
      </c>
      <c r="QJ11" s="17">
        <v>1</v>
      </c>
      <c r="QK11" s="17">
        <v>0</v>
      </c>
      <c r="QL11" s="17">
        <v>0</v>
      </c>
      <c r="QM11" s="17">
        <v>1</v>
      </c>
      <c r="QN11" s="17">
        <v>1</v>
      </c>
      <c r="QO11" s="17">
        <v>1</v>
      </c>
      <c r="QP11" s="17">
        <v>1</v>
      </c>
      <c r="QQ11" s="17">
        <v>1</v>
      </c>
      <c r="QR11" s="17">
        <v>1</v>
      </c>
      <c r="QS11" s="17">
        <v>1</v>
      </c>
      <c r="QT11" s="17">
        <v>1</v>
      </c>
      <c r="QU11" s="17">
        <v>0</v>
      </c>
      <c r="QV11" s="17">
        <v>1</v>
      </c>
      <c r="QW11" s="17">
        <v>1</v>
      </c>
      <c r="QX11" s="17">
        <v>1</v>
      </c>
      <c r="QY11" s="17">
        <v>0</v>
      </c>
      <c r="QZ11" s="17">
        <v>1</v>
      </c>
      <c r="RA11" s="17">
        <v>1</v>
      </c>
      <c r="RB11" s="17">
        <v>1</v>
      </c>
      <c r="RC11" s="17">
        <v>1</v>
      </c>
      <c r="RD11" s="17">
        <v>0</v>
      </c>
      <c r="RE11" s="17">
        <v>1</v>
      </c>
      <c r="RF11" s="17">
        <v>1</v>
      </c>
      <c r="RG11" s="17">
        <v>1</v>
      </c>
      <c r="RH11" s="17">
        <v>1</v>
      </c>
      <c r="RI11" s="17">
        <v>1</v>
      </c>
      <c r="RJ11" s="17">
        <v>0</v>
      </c>
      <c r="RK11" s="17">
        <v>1</v>
      </c>
      <c r="RL11" s="17">
        <v>1</v>
      </c>
      <c r="RM11" s="17">
        <v>1</v>
      </c>
      <c r="RN11" s="17">
        <v>1</v>
      </c>
      <c r="RO11" s="17">
        <v>1</v>
      </c>
      <c r="RP11" s="17">
        <v>0</v>
      </c>
      <c r="RQ11" s="17">
        <v>1</v>
      </c>
      <c r="RR11" s="17">
        <v>1</v>
      </c>
      <c r="RS11" s="17">
        <v>0</v>
      </c>
      <c r="RT11" s="17">
        <v>1</v>
      </c>
      <c r="RU11" s="17">
        <v>1</v>
      </c>
      <c r="RV11" s="17"/>
      <c r="RW11" s="17">
        <v>1</v>
      </c>
      <c r="RX11" s="17">
        <v>1</v>
      </c>
      <c r="RY11" s="17">
        <v>0</v>
      </c>
      <c r="RZ11" s="17">
        <v>1</v>
      </c>
      <c r="SA11" s="17">
        <v>1</v>
      </c>
      <c r="SB11" s="17">
        <v>1</v>
      </c>
      <c r="SC11" s="17">
        <v>0</v>
      </c>
      <c r="SD11" s="17">
        <v>1</v>
      </c>
      <c r="SE11" s="17">
        <v>1</v>
      </c>
      <c r="SF11" s="17">
        <v>1</v>
      </c>
      <c r="SG11" s="17">
        <v>1</v>
      </c>
      <c r="SH11" s="17"/>
      <c r="SI11" s="17">
        <v>10011</v>
      </c>
      <c r="SJ11" s="19">
        <f t="shared" si="3"/>
        <v>243</v>
      </c>
      <c r="SK11" s="19">
        <f t="shared" si="0"/>
        <v>308</v>
      </c>
      <c r="SL11" s="19">
        <f t="shared" si="1"/>
        <v>65</v>
      </c>
      <c r="SM11" s="9">
        <v>10011</v>
      </c>
      <c r="SN11" s="9" t="s">
        <v>509</v>
      </c>
      <c r="SO11" s="10">
        <v>1</v>
      </c>
      <c r="SP11" s="9">
        <v>1</v>
      </c>
      <c r="SQ11" s="13" t="s">
        <v>517</v>
      </c>
      <c r="SR11" s="9">
        <v>16</v>
      </c>
      <c r="SS11" s="28">
        <v>30</v>
      </c>
      <c r="ST11" s="28">
        <v>16</v>
      </c>
      <c r="SU11" s="28">
        <v>316</v>
      </c>
      <c r="SV11" s="28">
        <v>87</v>
      </c>
      <c r="SW11" s="28">
        <v>70</v>
      </c>
      <c r="SX11" s="28">
        <v>67</v>
      </c>
      <c r="SY11" s="29">
        <v>52</v>
      </c>
      <c r="SZ11" s="30">
        <v>80</v>
      </c>
      <c r="TA11" s="31">
        <v>23</v>
      </c>
      <c r="TB11" s="31">
        <v>50</v>
      </c>
    </row>
    <row r="12" spans="1:522" ht="15.75" customHeight="1" x14ac:dyDescent="0.2">
      <c r="A12" s="17">
        <v>10012</v>
      </c>
      <c r="B12" s="17" t="s">
        <v>501</v>
      </c>
      <c r="C12" s="17" t="s">
        <v>502</v>
      </c>
      <c r="D12" s="17" t="s">
        <v>503</v>
      </c>
      <c r="E12" s="17" t="s">
        <v>504</v>
      </c>
      <c r="F12" s="18">
        <v>37945</v>
      </c>
      <c r="G12" s="18">
        <v>38456</v>
      </c>
      <c r="H12" s="14">
        <f t="shared" si="2"/>
        <v>16</v>
      </c>
      <c r="I12" s="17" t="s">
        <v>505</v>
      </c>
      <c r="J12" s="17">
        <v>1</v>
      </c>
      <c r="K12" s="17">
        <v>1</v>
      </c>
      <c r="L12" s="17">
        <v>1</v>
      </c>
      <c r="M12" s="17"/>
      <c r="N12" s="17"/>
      <c r="O12" s="17"/>
      <c r="P12" s="17"/>
      <c r="Q12" s="17"/>
      <c r="R12" s="17"/>
      <c r="S12" s="17">
        <v>1</v>
      </c>
      <c r="T12" s="17">
        <v>1</v>
      </c>
      <c r="U12" s="17"/>
      <c r="V12" s="17">
        <v>1</v>
      </c>
      <c r="W12" s="17"/>
      <c r="X12" s="17"/>
      <c r="Y12" s="17">
        <v>1</v>
      </c>
      <c r="Z12" s="17"/>
      <c r="AA12" s="17"/>
      <c r="AB12" s="17"/>
      <c r="AC12" s="17">
        <v>1</v>
      </c>
      <c r="AD12" s="17"/>
      <c r="AE12" s="17"/>
      <c r="AF12" s="17"/>
      <c r="AG12" s="17"/>
      <c r="AH12" s="17">
        <v>1</v>
      </c>
      <c r="AI12" s="17"/>
      <c r="AJ12" s="17"/>
      <c r="AK12" s="17"/>
      <c r="AL12" s="17"/>
      <c r="AM12" s="17"/>
      <c r="AN12" s="17"/>
      <c r="AO12" s="17" t="s">
        <v>508</v>
      </c>
      <c r="AP12" s="17" t="s">
        <v>508</v>
      </c>
      <c r="AQ12" s="17"/>
      <c r="AR12" s="17"/>
      <c r="AS12" s="17"/>
      <c r="AT12" s="17"/>
      <c r="AU12" s="17"/>
      <c r="AV12" s="17"/>
      <c r="AW12" s="17"/>
      <c r="AX12" s="17"/>
      <c r="AY12" s="17">
        <v>2</v>
      </c>
      <c r="AZ12" s="17"/>
      <c r="BA12" s="17"/>
      <c r="BB12" s="17">
        <v>2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>
        <v>1</v>
      </c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>
        <v>1</v>
      </c>
      <c r="DR12" s="17"/>
      <c r="DS12" s="17"/>
      <c r="DT12" s="17"/>
      <c r="DU12" s="17"/>
      <c r="DV12" s="17"/>
      <c r="DW12" s="17"/>
      <c r="DX12" s="17"/>
      <c r="DY12" s="17">
        <v>1</v>
      </c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>
        <v>1</v>
      </c>
      <c r="EN12" s="17"/>
      <c r="EO12" s="17"/>
      <c r="EP12" s="17"/>
      <c r="EQ12" s="17"/>
      <c r="ER12" s="17"/>
      <c r="ES12" s="17"/>
      <c r="ET12" s="17"/>
      <c r="EU12" s="17"/>
      <c r="EV12" s="17">
        <v>1</v>
      </c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>
        <v>1</v>
      </c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>
        <v>1</v>
      </c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>
        <v>1</v>
      </c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>
        <v>1</v>
      </c>
      <c r="JE12" s="17">
        <v>1</v>
      </c>
      <c r="JF12" s="17"/>
      <c r="JG12" s="17"/>
      <c r="JH12" s="17"/>
      <c r="JI12" s="17">
        <v>1</v>
      </c>
      <c r="JJ12" s="17"/>
      <c r="JK12" s="17">
        <v>1</v>
      </c>
      <c r="JL12" s="17"/>
      <c r="JM12" s="17">
        <v>1</v>
      </c>
      <c r="JN12" s="17">
        <v>1</v>
      </c>
      <c r="JO12" s="17"/>
      <c r="JP12" s="17"/>
      <c r="JQ12" s="17">
        <v>2</v>
      </c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>
        <v>1</v>
      </c>
      <c r="KI12" s="17"/>
      <c r="KJ12" s="17"/>
      <c r="KK12" s="17"/>
      <c r="KL12" s="17"/>
      <c r="KM12" s="17"/>
      <c r="KN12" s="17"/>
      <c r="KO12" s="17"/>
      <c r="KP12" s="17"/>
      <c r="KQ12" s="17">
        <v>1</v>
      </c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>
        <v>1</v>
      </c>
      <c r="NC12" s="17"/>
      <c r="ND12" s="17">
        <v>1</v>
      </c>
      <c r="NE12" s="17"/>
      <c r="NF12" s="17"/>
      <c r="NG12" s="17"/>
      <c r="NH12" s="17"/>
      <c r="NI12" s="17"/>
      <c r="NJ12" s="17"/>
      <c r="NK12" s="17"/>
      <c r="NL12" s="17"/>
      <c r="NM12" s="17">
        <v>1</v>
      </c>
      <c r="NN12" s="17"/>
      <c r="NO12" s="17"/>
      <c r="NP12" s="17"/>
      <c r="NQ12" s="17"/>
      <c r="NR12" s="17"/>
      <c r="NS12" s="17">
        <v>1</v>
      </c>
      <c r="NT12" s="17">
        <v>1</v>
      </c>
      <c r="NU12" s="17"/>
      <c r="NV12" s="17"/>
      <c r="NW12" s="17"/>
      <c r="NX12" s="17"/>
      <c r="NY12" s="17"/>
      <c r="NZ12" s="17">
        <v>1</v>
      </c>
      <c r="OA12" s="17"/>
      <c r="OB12" s="17"/>
      <c r="OC12" s="17"/>
      <c r="OD12" s="17"/>
      <c r="OE12" s="17"/>
      <c r="OF12" s="17"/>
      <c r="OG12" s="17">
        <v>1</v>
      </c>
      <c r="OH12" s="17"/>
      <c r="OI12" s="17"/>
      <c r="OJ12" s="17"/>
      <c r="OK12" s="17"/>
      <c r="OL12" s="17">
        <v>1</v>
      </c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>
        <v>1</v>
      </c>
      <c r="PB12" s="17"/>
      <c r="PC12" s="17"/>
      <c r="PD12" s="17"/>
      <c r="PE12" s="17"/>
      <c r="PF12" s="17">
        <v>1</v>
      </c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 t="s">
        <v>506</v>
      </c>
      <c r="PX12" s="17" t="s">
        <v>506</v>
      </c>
      <c r="PY12" s="17" t="s">
        <v>506</v>
      </c>
      <c r="PZ12" s="17" t="s">
        <v>507</v>
      </c>
      <c r="QA12" s="17" t="s">
        <v>506</v>
      </c>
      <c r="QB12" s="17" t="s">
        <v>506</v>
      </c>
      <c r="QC12" s="17" t="s">
        <v>507</v>
      </c>
      <c r="QD12" s="17" t="s">
        <v>508</v>
      </c>
      <c r="QE12" s="17" t="s">
        <v>506</v>
      </c>
      <c r="QF12" s="17" t="s">
        <v>508</v>
      </c>
      <c r="QG12" s="17" t="s">
        <v>508</v>
      </c>
      <c r="QH12" s="17" t="s">
        <v>507</v>
      </c>
      <c r="QI12" s="17">
        <v>1</v>
      </c>
      <c r="QJ12" s="17">
        <v>0</v>
      </c>
      <c r="QK12" s="17">
        <v>0</v>
      </c>
      <c r="QL12" s="17">
        <v>1</v>
      </c>
      <c r="QM12" s="17">
        <v>0</v>
      </c>
      <c r="QN12" s="17">
        <v>1</v>
      </c>
      <c r="QO12" s="17">
        <v>1</v>
      </c>
      <c r="QP12" s="17">
        <v>1</v>
      </c>
      <c r="QQ12" s="17">
        <v>1</v>
      </c>
      <c r="QR12" s="17">
        <v>0</v>
      </c>
      <c r="QS12" s="17">
        <v>0</v>
      </c>
      <c r="QT12" s="17">
        <v>1</v>
      </c>
      <c r="QU12" s="17">
        <v>1</v>
      </c>
      <c r="QV12" s="17">
        <v>0</v>
      </c>
      <c r="QW12" s="17">
        <v>1</v>
      </c>
      <c r="QX12" s="17">
        <v>1</v>
      </c>
      <c r="QY12" s="17">
        <v>0</v>
      </c>
      <c r="QZ12" s="17">
        <v>1</v>
      </c>
      <c r="RA12" s="17">
        <v>1</v>
      </c>
      <c r="RB12" s="17">
        <v>1</v>
      </c>
      <c r="RC12" s="17">
        <v>1</v>
      </c>
      <c r="RD12" s="17">
        <v>1</v>
      </c>
      <c r="RE12" s="17">
        <v>1</v>
      </c>
      <c r="RF12" s="17">
        <v>0</v>
      </c>
      <c r="RG12" s="17">
        <v>0</v>
      </c>
      <c r="RH12" s="17">
        <v>0</v>
      </c>
      <c r="RI12" s="17">
        <v>0</v>
      </c>
      <c r="RJ12" s="17">
        <v>0</v>
      </c>
      <c r="RK12" s="17">
        <v>1</v>
      </c>
      <c r="RL12" s="17">
        <v>0</v>
      </c>
      <c r="RM12" s="17">
        <v>0</v>
      </c>
      <c r="RN12" s="17">
        <v>1</v>
      </c>
      <c r="RO12" s="17">
        <v>0</v>
      </c>
      <c r="RP12" s="17">
        <v>0</v>
      </c>
      <c r="RQ12" s="17">
        <v>0</v>
      </c>
      <c r="RR12" s="17">
        <v>0</v>
      </c>
      <c r="RS12" s="17">
        <v>0</v>
      </c>
      <c r="RT12" s="17">
        <v>1</v>
      </c>
      <c r="RU12" s="17">
        <v>1</v>
      </c>
      <c r="RV12" s="17">
        <v>0</v>
      </c>
      <c r="RW12" s="17">
        <v>1</v>
      </c>
      <c r="RX12" s="17">
        <v>1</v>
      </c>
      <c r="RY12" s="17">
        <v>0</v>
      </c>
      <c r="RZ12" s="17">
        <v>0</v>
      </c>
      <c r="SA12" s="17">
        <v>1</v>
      </c>
      <c r="SB12" s="17">
        <v>1</v>
      </c>
      <c r="SC12" s="17">
        <v>0</v>
      </c>
      <c r="SD12" s="17">
        <v>1</v>
      </c>
      <c r="SE12" s="17">
        <v>1</v>
      </c>
      <c r="SF12" s="17">
        <v>0</v>
      </c>
      <c r="SG12" s="17">
        <v>0</v>
      </c>
      <c r="SH12" s="17">
        <v>1</v>
      </c>
      <c r="SI12" s="17">
        <v>10012</v>
      </c>
      <c r="SJ12" s="19">
        <f t="shared" si="3"/>
        <v>26</v>
      </c>
      <c r="SK12" s="19">
        <f t="shared" si="0"/>
        <v>29</v>
      </c>
      <c r="SL12" s="19">
        <f t="shared" si="1"/>
        <v>3</v>
      </c>
      <c r="SM12" s="9">
        <v>10012</v>
      </c>
      <c r="SN12" s="9" t="s">
        <v>504</v>
      </c>
      <c r="SO12" s="10">
        <v>1</v>
      </c>
      <c r="SP12" s="9">
        <v>2</v>
      </c>
      <c r="SQ12" s="13" t="s">
        <v>515</v>
      </c>
      <c r="SR12" s="9">
        <v>17</v>
      </c>
      <c r="SS12" s="28" t="s">
        <v>563</v>
      </c>
      <c r="ST12" s="28">
        <v>16</v>
      </c>
      <c r="SU12" s="28">
        <v>29</v>
      </c>
      <c r="SV12" s="28">
        <v>0</v>
      </c>
      <c r="SW12" s="28">
        <v>3</v>
      </c>
      <c r="SX12" s="28">
        <v>12</v>
      </c>
      <c r="SY12" s="29">
        <v>35</v>
      </c>
      <c r="SZ12" s="30">
        <v>28</v>
      </c>
      <c r="TA12" s="31">
        <v>6</v>
      </c>
      <c r="TB12" s="31">
        <v>5</v>
      </c>
    </row>
    <row r="13" spans="1:522" ht="15.75" customHeight="1" x14ac:dyDescent="0.2">
      <c r="A13" s="17">
        <v>10013</v>
      </c>
      <c r="B13" s="17" t="s">
        <v>501</v>
      </c>
      <c r="C13" s="17" t="s">
        <v>502</v>
      </c>
      <c r="D13" s="17" t="s">
        <v>503</v>
      </c>
      <c r="E13" s="17" t="s">
        <v>509</v>
      </c>
      <c r="F13" s="18">
        <v>37967</v>
      </c>
      <c r="G13" s="18">
        <v>38461</v>
      </c>
      <c r="H13" s="14">
        <f t="shared" si="2"/>
        <v>16</v>
      </c>
      <c r="I13" s="17" t="s">
        <v>505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/>
      <c r="S13" s="17">
        <v>1</v>
      </c>
      <c r="T13" s="17">
        <v>1</v>
      </c>
      <c r="U13" s="17">
        <v>1</v>
      </c>
      <c r="V13" s="17">
        <v>1</v>
      </c>
      <c r="W13" s="17">
        <v>1</v>
      </c>
      <c r="X13" s="17">
        <v>1</v>
      </c>
      <c r="Y13" s="17">
        <v>1</v>
      </c>
      <c r="Z13" s="17">
        <v>1</v>
      </c>
      <c r="AA13" s="17">
        <v>1</v>
      </c>
      <c r="AB13" s="17">
        <v>1</v>
      </c>
      <c r="AC13" s="17">
        <v>1</v>
      </c>
      <c r="AD13" s="17"/>
      <c r="AE13" s="17">
        <v>1</v>
      </c>
      <c r="AF13" s="17"/>
      <c r="AG13" s="17"/>
      <c r="AH13" s="17">
        <v>1</v>
      </c>
      <c r="AI13" s="17">
        <v>1</v>
      </c>
      <c r="AJ13" s="17">
        <v>1</v>
      </c>
      <c r="AK13" s="17">
        <v>1</v>
      </c>
      <c r="AL13" s="17">
        <v>1</v>
      </c>
      <c r="AM13" s="17"/>
      <c r="AN13" s="17"/>
      <c r="AO13" s="17" t="s">
        <v>506</v>
      </c>
      <c r="AP13" s="17" t="s">
        <v>507</v>
      </c>
      <c r="AQ13" s="17">
        <v>1</v>
      </c>
      <c r="AR13" s="17">
        <v>2</v>
      </c>
      <c r="AS13" s="17">
        <v>1</v>
      </c>
      <c r="AT13" s="17">
        <v>1</v>
      </c>
      <c r="AU13" s="17">
        <v>2</v>
      </c>
      <c r="AV13" s="17">
        <v>2</v>
      </c>
      <c r="AW13" s="17">
        <v>1</v>
      </c>
      <c r="AX13" s="17">
        <v>2</v>
      </c>
      <c r="AY13" s="17">
        <v>2</v>
      </c>
      <c r="AZ13" s="17">
        <v>1</v>
      </c>
      <c r="BA13" s="17">
        <v>2</v>
      </c>
      <c r="BB13" s="17">
        <v>2</v>
      </c>
      <c r="BC13" s="17"/>
      <c r="BD13" s="17"/>
      <c r="BE13" s="17"/>
      <c r="BF13" s="17">
        <v>2</v>
      </c>
      <c r="BG13" s="17"/>
      <c r="BH13" s="17"/>
      <c r="BI13" s="17"/>
      <c r="BJ13" s="17">
        <v>1</v>
      </c>
      <c r="BK13" s="17"/>
      <c r="BL13" s="17">
        <v>1</v>
      </c>
      <c r="BM13" s="17"/>
      <c r="BN13" s="17">
        <v>2</v>
      </c>
      <c r="BO13" s="17"/>
      <c r="BP13" s="17">
        <v>2</v>
      </c>
      <c r="BQ13" s="17"/>
      <c r="BR13" s="17"/>
      <c r="BS13" s="17"/>
      <c r="BT13" s="17"/>
      <c r="BU13" s="17"/>
      <c r="BV13" s="17">
        <v>1</v>
      </c>
      <c r="BW13" s="17">
        <v>1</v>
      </c>
      <c r="BX13" s="17"/>
      <c r="BY13" s="17"/>
      <c r="BZ13" s="17"/>
      <c r="CA13" s="17"/>
      <c r="CB13" s="17"/>
      <c r="CC13" s="17"/>
      <c r="CD13" s="17">
        <v>1</v>
      </c>
      <c r="CE13" s="17"/>
      <c r="CF13" s="17">
        <v>1</v>
      </c>
      <c r="CG13" s="17"/>
      <c r="CH13" s="17">
        <v>1</v>
      </c>
      <c r="CI13" s="17"/>
      <c r="CJ13" s="17"/>
      <c r="CK13" s="17"/>
      <c r="CL13" s="17"/>
      <c r="CM13" s="17">
        <v>2</v>
      </c>
      <c r="CN13" s="17"/>
      <c r="CO13" s="17">
        <v>1</v>
      </c>
      <c r="CP13" s="17">
        <v>1</v>
      </c>
      <c r="CQ13" s="17">
        <v>1</v>
      </c>
      <c r="CR13" s="17"/>
      <c r="CS13" s="17">
        <v>1</v>
      </c>
      <c r="CT13" s="17">
        <v>1</v>
      </c>
      <c r="CU13" s="17"/>
      <c r="CV13" s="17">
        <v>2</v>
      </c>
      <c r="CW13" s="17">
        <v>2</v>
      </c>
      <c r="CX13" s="17"/>
      <c r="CY13" s="17">
        <v>2</v>
      </c>
      <c r="CZ13" s="17">
        <v>2</v>
      </c>
      <c r="DA13" s="17"/>
      <c r="DB13" s="17"/>
      <c r="DC13" s="17"/>
      <c r="DD13" s="17">
        <v>1</v>
      </c>
      <c r="DE13" s="17">
        <v>2</v>
      </c>
      <c r="DF13" s="17">
        <v>1</v>
      </c>
      <c r="DG13" s="17"/>
      <c r="DH13" s="17"/>
      <c r="DI13" s="17"/>
      <c r="DJ13" s="17"/>
      <c r="DK13" s="17">
        <v>1</v>
      </c>
      <c r="DL13" s="17">
        <v>1</v>
      </c>
      <c r="DM13" s="17">
        <v>1</v>
      </c>
      <c r="DN13" s="17"/>
      <c r="DO13" s="17"/>
      <c r="DP13" s="17">
        <v>1</v>
      </c>
      <c r="DQ13" s="17">
        <v>2</v>
      </c>
      <c r="DR13" s="17">
        <v>1</v>
      </c>
      <c r="DS13" s="17">
        <v>1</v>
      </c>
      <c r="DT13" s="17"/>
      <c r="DU13" s="17">
        <v>1</v>
      </c>
      <c r="DV13" s="17">
        <v>1</v>
      </c>
      <c r="DW13" s="17">
        <v>1</v>
      </c>
      <c r="DX13" s="17"/>
      <c r="DY13" s="17">
        <v>2</v>
      </c>
      <c r="DZ13" s="17"/>
      <c r="EA13" s="17"/>
      <c r="EB13" s="17"/>
      <c r="EC13" s="17">
        <v>1</v>
      </c>
      <c r="ED13" s="17">
        <v>1</v>
      </c>
      <c r="EE13" s="17">
        <v>1</v>
      </c>
      <c r="EF13" s="17">
        <v>1</v>
      </c>
      <c r="EG13" s="17">
        <v>2</v>
      </c>
      <c r="EH13" s="17"/>
      <c r="EI13" s="17"/>
      <c r="EJ13" s="17"/>
      <c r="EK13" s="17"/>
      <c r="EL13" s="17"/>
      <c r="EM13" s="17">
        <v>1</v>
      </c>
      <c r="EN13" s="17"/>
      <c r="EO13" s="17">
        <v>1</v>
      </c>
      <c r="EP13" s="17">
        <v>2</v>
      </c>
      <c r="EQ13" s="17"/>
      <c r="ER13" s="17"/>
      <c r="ES13" s="17"/>
      <c r="ET13" s="17">
        <v>1</v>
      </c>
      <c r="EU13" s="17"/>
      <c r="EV13" s="17">
        <v>1</v>
      </c>
      <c r="EW13" s="17"/>
      <c r="EX13" s="17"/>
      <c r="EY13" s="17">
        <v>1</v>
      </c>
      <c r="EZ13" s="17"/>
      <c r="FA13" s="17"/>
      <c r="FB13" s="17">
        <v>1</v>
      </c>
      <c r="FC13" s="17"/>
      <c r="FD13" s="17">
        <v>1</v>
      </c>
      <c r="FE13" s="17">
        <v>1</v>
      </c>
      <c r="FF13" s="17"/>
      <c r="FG13" s="17">
        <v>1</v>
      </c>
      <c r="FH13" s="17">
        <v>1</v>
      </c>
      <c r="FI13" s="17"/>
      <c r="FJ13" s="17">
        <v>1</v>
      </c>
      <c r="FK13" s="17">
        <v>1</v>
      </c>
      <c r="FL13" s="17"/>
      <c r="FM13" s="17"/>
      <c r="FN13" s="17">
        <v>1</v>
      </c>
      <c r="FO13" s="17">
        <v>1</v>
      </c>
      <c r="FP13" s="17">
        <v>1</v>
      </c>
      <c r="FQ13" s="17"/>
      <c r="FR13" s="17"/>
      <c r="FS13" s="17"/>
      <c r="FT13" s="17">
        <v>1</v>
      </c>
      <c r="FU13" s="17">
        <v>1</v>
      </c>
      <c r="FV13" s="17"/>
      <c r="FW13" s="17">
        <v>1</v>
      </c>
      <c r="FX13" s="17"/>
      <c r="FY13" s="17"/>
      <c r="FZ13" s="17"/>
      <c r="GA13" s="17"/>
      <c r="GB13" s="17"/>
      <c r="GC13" s="17">
        <v>1</v>
      </c>
      <c r="GD13" s="17"/>
      <c r="GE13" s="17"/>
      <c r="GF13" s="17"/>
      <c r="GG13" s="17"/>
      <c r="GH13" s="17"/>
      <c r="GI13" s="17">
        <v>1</v>
      </c>
      <c r="GJ13" s="17"/>
      <c r="GK13" s="17">
        <v>1</v>
      </c>
      <c r="GL13" s="17"/>
      <c r="GM13" s="17"/>
      <c r="GN13" s="17"/>
      <c r="GO13" s="17"/>
      <c r="GP13" s="17"/>
      <c r="GQ13" s="17"/>
      <c r="GR13" s="17"/>
      <c r="GS13" s="17"/>
      <c r="GT13" s="17">
        <v>1</v>
      </c>
      <c r="GU13" s="17"/>
      <c r="GV13" s="17"/>
      <c r="GW13" s="17"/>
      <c r="GX13" s="17">
        <v>1</v>
      </c>
      <c r="GY13" s="17">
        <v>1</v>
      </c>
      <c r="GZ13" s="17">
        <v>1</v>
      </c>
      <c r="HA13" s="17"/>
      <c r="HB13" s="17">
        <v>1</v>
      </c>
      <c r="HC13" s="17"/>
      <c r="HD13" s="17"/>
      <c r="HE13" s="17">
        <v>1</v>
      </c>
      <c r="HF13" s="17">
        <v>1</v>
      </c>
      <c r="HG13" s="17">
        <v>1</v>
      </c>
      <c r="HH13" s="17"/>
      <c r="HI13" s="17">
        <v>1</v>
      </c>
      <c r="HJ13" s="17"/>
      <c r="HK13" s="17">
        <v>1</v>
      </c>
      <c r="HL13" s="17"/>
      <c r="HM13" s="17"/>
      <c r="HN13" s="17"/>
      <c r="HO13" s="17">
        <v>1</v>
      </c>
      <c r="HP13" s="17">
        <v>1</v>
      </c>
      <c r="HQ13" s="17"/>
      <c r="HR13" s="17"/>
      <c r="HS13" s="17"/>
      <c r="HT13" s="17"/>
      <c r="HU13" s="17"/>
      <c r="HV13" s="17"/>
      <c r="HW13" s="17"/>
      <c r="HX13" s="17"/>
      <c r="HY13" s="17"/>
      <c r="HZ13" s="17">
        <v>1</v>
      </c>
      <c r="IA13" s="17"/>
      <c r="IB13" s="17">
        <v>1</v>
      </c>
      <c r="IC13" s="17"/>
      <c r="ID13" s="17"/>
      <c r="IE13" s="17"/>
      <c r="IF13" s="17"/>
      <c r="IG13" s="17"/>
      <c r="IH13" s="17"/>
      <c r="II13" s="17"/>
      <c r="IJ13" s="17">
        <v>1</v>
      </c>
      <c r="IK13" s="17">
        <v>2</v>
      </c>
      <c r="IL13" s="17">
        <v>2</v>
      </c>
      <c r="IM13" s="17"/>
      <c r="IN13" s="17"/>
      <c r="IO13" s="17"/>
      <c r="IP13" s="17"/>
      <c r="IQ13" s="17"/>
      <c r="IR13" s="17"/>
      <c r="IS13" s="17"/>
      <c r="IT13" s="17">
        <v>1</v>
      </c>
      <c r="IU13" s="17"/>
      <c r="IV13" s="17"/>
      <c r="IW13" s="17"/>
      <c r="IX13" s="17"/>
      <c r="IY13" s="17">
        <v>1</v>
      </c>
      <c r="IZ13" s="17">
        <v>1</v>
      </c>
      <c r="JA13" s="17"/>
      <c r="JB13" s="17"/>
      <c r="JC13" s="17">
        <v>1</v>
      </c>
      <c r="JD13" s="17"/>
      <c r="JE13" s="17"/>
      <c r="JF13" s="17"/>
      <c r="JG13" s="17">
        <v>1</v>
      </c>
      <c r="JH13" s="17"/>
      <c r="JI13" s="17"/>
      <c r="JJ13" s="17"/>
      <c r="JK13" s="17">
        <v>2</v>
      </c>
      <c r="JL13" s="17"/>
      <c r="JM13" s="17">
        <v>2</v>
      </c>
      <c r="JN13" s="17">
        <v>2</v>
      </c>
      <c r="JO13" s="17"/>
      <c r="JP13" s="17"/>
      <c r="JQ13" s="17">
        <v>2</v>
      </c>
      <c r="JR13" s="17">
        <v>2</v>
      </c>
      <c r="JS13" s="17"/>
      <c r="JT13" s="17"/>
      <c r="JU13" s="17">
        <v>1</v>
      </c>
      <c r="JV13" s="17"/>
      <c r="JW13" s="17"/>
      <c r="JX13" s="17">
        <v>1</v>
      </c>
      <c r="JY13" s="17">
        <v>1</v>
      </c>
      <c r="JZ13" s="17">
        <v>2</v>
      </c>
      <c r="KA13" s="17">
        <v>1</v>
      </c>
      <c r="KB13" s="17">
        <v>1</v>
      </c>
      <c r="KC13" s="17">
        <v>2</v>
      </c>
      <c r="KD13" s="17">
        <v>2</v>
      </c>
      <c r="KE13" s="17">
        <v>1</v>
      </c>
      <c r="KF13" s="17">
        <v>1</v>
      </c>
      <c r="KG13" s="17">
        <v>2</v>
      </c>
      <c r="KH13" s="17">
        <v>2</v>
      </c>
      <c r="KI13" s="17">
        <v>1</v>
      </c>
      <c r="KJ13" s="17">
        <v>1</v>
      </c>
      <c r="KK13" s="17">
        <v>2</v>
      </c>
      <c r="KL13" s="17">
        <v>2</v>
      </c>
      <c r="KM13" s="17"/>
      <c r="KN13" s="17"/>
      <c r="KO13" s="17"/>
      <c r="KP13" s="17">
        <v>1</v>
      </c>
      <c r="KQ13" s="17">
        <v>1</v>
      </c>
      <c r="KR13" s="17">
        <v>1</v>
      </c>
      <c r="KS13" s="17"/>
      <c r="KT13" s="17">
        <v>1</v>
      </c>
      <c r="KU13" s="17"/>
      <c r="KV13" s="17"/>
      <c r="KW13" s="17"/>
      <c r="KX13" s="17"/>
      <c r="KY13" s="17">
        <v>1</v>
      </c>
      <c r="KZ13" s="17"/>
      <c r="LA13" s="17">
        <v>1</v>
      </c>
      <c r="LB13" s="17"/>
      <c r="LC13" s="17">
        <v>1</v>
      </c>
      <c r="LD13" s="17"/>
      <c r="LE13" s="17"/>
      <c r="LF13" s="17"/>
      <c r="LG13" s="17">
        <v>1</v>
      </c>
      <c r="LH13" s="17">
        <v>1</v>
      </c>
      <c r="LI13" s="17">
        <v>1</v>
      </c>
      <c r="LJ13" s="17">
        <v>1</v>
      </c>
      <c r="LK13" s="17"/>
      <c r="LL13" s="17"/>
      <c r="LM13" s="17"/>
      <c r="LN13" s="17"/>
      <c r="LO13" s="17">
        <v>1</v>
      </c>
      <c r="LP13" s="17">
        <v>1</v>
      </c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>
        <v>1</v>
      </c>
      <c r="MB13" s="17"/>
      <c r="MC13" s="17">
        <v>1</v>
      </c>
      <c r="MD13" s="17">
        <v>1</v>
      </c>
      <c r="ME13" s="17"/>
      <c r="MF13" s="17"/>
      <c r="MG13" s="17"/>
      <c r="MH13" s="17">
        <v>1</v>
      </c>
      <c r="MI13" s="17"/>
      <c r="MJ13" s="17"/>
      <c r="MK13" s="17"/>
      <c r="ML13" s="17">
        <v>1</v>
      </c>
      <c r="MM13" s="17">
        <v>1</v>
      </c>
      <c r="MN13" s="17">
        <v>1</v>
      </c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>
        <v>2</v>
      </c>
      <c r="NC13" s="17"/>
      <c r="ND13" s="17"/>
      <c r="NE13" s="17"/>
      <c r="NF13" s="17"/>
      <c r="NG13" s="17"/>
      <c r="NH13" s="17">
        <v>1</v>
      </c>
      <c r="NI13" s="17"/>
      <c r="NJ13" s="17">
        <v>1</v>
      </c>
      <c r="NK13" s="17"/>
      <c r="NL13" s="17"/>
      <c r="NM13" s="17">
        <v>1</v>
      </c>
      <c r="NN13" s="17"/>
      <c r="NO13" s="17"/>
      <c r="NP13" s="17"/>
      <c r="NQ13" s="17"/>
      <c r="NR13" s="17">
        <v>1</v>
      </c>
      <c r="NS13" s="17"/>
      <c r="NT13" s="17">
        <v>2</v>
      </c>
      <c r="NU13" s="17"/>
      <c r="NV13" s="17">
        <v>1</v>
      </c>
      <c r="NW13" s="17">
        <v>1</v>
      </c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>
        <v>1</v>
      </c>
      <c r="OI13" s="17"/>
      <c r="OJ13" s="17">
        <v>1</v>
      </c>
      <c r="OK13" s="17"/>
      <c r="OL13" s="17">
        <v>2</v>
      </c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>
        <v>1</v>
      </c>
      <c r="PG13" s="17"/>
      <c r="PH13" s="17"/>
      <c r="PI13" s="17"/>
      <c r="PJ13" s="17"/>
      <c r="PK13" s="17"/>
      <c r="PL13" s="17"/>
      <c r="PM13" s="17"/>
      <c r="PN13" s="17">
        <v>1</v>
      </c>
      <c r="PO13" s="17"/>
      <c r="PP13" s="17"/>
      <c r="PQ13" s="17">
        <v>2</v>
      </c>
      <c r="PR13" s="17"/>
      <c r="PS13" s="17"/>
      <c r="PT13" s="17"/>
      <c r="PU13" s="17"/>
      <c r="PV13" s="17"/>
      <c r="PW13" s="17" t="s">
        <v>506</v>
      </c>
      <c r="PX13" s="17" t="s">
        <v>506</v>
      </c>
      <c r="PY13" s="17" t="s">
        <v>506</v>
      </c>
      <c r="PZ13" s="17" t="s">
        <v>506</v>
      </c>
      <c r="QA13" s="17" t="s">
        <v>506</v>
      </c>
      <c r="QB13" s="17" t="s">
        <v>506</v>
      </c>
      <c r="QC13" s="17" t="s">
        <v>508</v>
      </c>
      <c r="QD13" s="17" t="s">
        <v>507</v>
      </c>
      <c r="QE13" s="17" t="s">
        <v>507</v>
      </c>
      <c r="QF13" s="17" t="s">
        <v>506</v>
      </c>
      <c r="QG13" s="17" t="s">
        <v>508</v>
      </c>
      <c r="QH13" s="17" t="s">
        <v>508</v>
      </c>
      <c r="QI13" s="17">
        <v>1</v>
      </c>
      <c r="QJ13" s="17">
        <v>1</v>
      </c>
      <c r="QK13" s="17">
        <v>0</v>
      </c>
      <c r="QL13" s="17">
        <v>1</v>
      </c>
      <c r="QM13" s="17">
        <v>1</v>
      </c>
      <c r="QN13" s="17">
        <v>1</v>
      </c>
      <c r="QO13" s="17">
        <v>1</v>
      </c>
      <c r="QP13" s="17">
        <v>1</v>
      </c>
      <c r="QQ13" s="17">
        <v>1</v>
      </c>
      <c r="QR13" s="17">
        <v>1</v>
      </c>
      <c r="QS13" s="17">
        <v>1</v>
      </c>
      <c r="QT13" s="17">
        <v>1</v>
      </c>
      <c r="QU13" s="17">
        <v>1</v>
      </c>
      <c r="QV13" s="17">
        <v>1</v>
      </c>
      <c r="QW13" s="17">
        <v>0</v>
      </c>
      <c r="QX13" s="17">
        <v>1</v>
      </c>
      <c r="QY13" s="17">
        <v>0</v>
      </c>
      <c r="QZ13" s="17">
        <v>1</v>
      </c>
      <c r="RA13" s="17">
        <v>0</v>
      </c>
      <c r="RB13" s="17">
        <v>1</v>
      </c>
      <c r="RC13" s="17">
        <v>1</v>
      </c>
      <c r="RD13" s="17">
        <v>0</v>
      </c>
      <c r="RE13" s="17">
        <v>0</v>
      </c>
      <c r="RF13" s="17">
        <v>0</v>
      </c>
      <c r="RG13" s="17">
        <v>0</v>
      </c>
      <c r="RH13" s="17">
        <v>0</v>
      </c>
      <c r="RI13" s="17">
        <v>0</v>
      </c>
      <c r="RJ13" s="17">
        <v>0</v>
      </c>
      <c r="RK13" s="17">
        <v>1</v>
      </c>
      <c r="RL13" s="17">
        <v>1</v>
      </c>
      <c r="RM13" s="17">
        <v>0</v>
      </c>
      <c r="RN13" s="17">
        <v>0</v>
      </c>
      <c r="RO13" s="17">
        <v>0</v>
      </c>
      <c r="RP13" s="17">
        <v>0</v>
      </c>
      <c r="RQ13" s="17">
        <v>0</v>
      </c>
      <c r="RR13" s="17">
        <v>0</v>
      </c>
      <c r="RS13" s="17">
        <v>1</v>
      </c>
      <c r="RT13" s="17">
        <v>1</v>
      </c>
      <c r="RU13" s="17">
        <v>0</v>
      </c>
      <c r="RV13" s="17">
        <v>0</v>
      </c>
      <c r="RW13" s="17">
        <v>0</v>
      </c>
      <c r="RX13" s="17">
        <v>1</v>
      </c>
      <c r="RY13" s="17">
        <v>0</v>
      </c>
      <c r="RZ13" s="17">
        <v>0</v>
      </c>
      <c r="SA13" s="17">
        <v>0</v>
      </c>
      <c r="SB13" s="17">
        <v>0</v>
      </c>
      <c r="SC13" s="17">
        <v>0</v>
      </c>
      <c r="SD13" s="17">
        <v>0</v>
      </c>
      <c r="SE13" s="17">
        <v>1</v>
      </c>
      <c r="SF13" s="17">
        <v>1</v>
      </c>
      <c r="SG13" s="17">
        <v>1</v>
      </c>
      <c r="SH13" s="17">
        <v>0</v>
      </c>
      <c r="SI13" s="17">
        <v>10013</v>
      </c>
      <c r="SJ13" s="19">
        <f t="shared" si="3"/>
        <v>112</v>
      </c>
      <c r="SK13" s="19">
        <f t="shared" si="0"/>
        <v>150</v>
      </c>
      <c r="SL13" s="19">
        <f t="shared" si="1"/>
        <v>38</v>
      </c>
      <c r="SM13" s="9">
        <v>10013</v>
      </c>
      <c r="SN13" s="9" t="s">
        <v>509</v>
      </c>
      <c r="SO13" s="10">
        <v>2</v>
      </c>
      <c r="SP13" s="9">
        <v>3</v>
      </c>
      <c r="SQ13" s="11" t="s">
        <v>517</v>
      </c>
      <c r="SR13" s="9">
        <v>18</v>
      </c>
      <c r="SS13" s="28" t="s">
        <v>563</v>
      </c>
      <c r="ST13" s="28">
        <v>16</v>
      </c>
      <c r="SU13" s="28">
        <v>151</v>
      </c>
      <c r="SV13" s="28">
        <v>29</v>
      </c>
      <c r="SW13" s="28">
        <v>39</v>
      </c>
      <c r="SX13" s="28">
        <v>45</v>
      </c>
      <c r="SY13" s="29">
        <v>34</v>
      </c>
      <c r="SZ13" s="30">
        <v>18</v>
      </c>
      <c r="TA13" s="31">
        <v>23</v>
      </c>
      <c r="TB13" s="31">
        <v>50</v>
      </c>
    </row>
    <row r="14" spans="1:522" ht="15.75" customHeight="1" x14ac:dyDescent="0.2">
      <c r="A14" s="17">
        <v>10014</v>
      </c>
      <c r="B14" s="17" t="s">
        <v>501</v>
      </c>
      <c r="C14" s="17" t="s">
        <v>502</v>
      </c>
      <c r="D14" s="17" t="s">
        <v>503</v>
      </c>
      <c r="E14" s="17" t="s">
        <v>504</v>
      </c>
      <c r="F14" s="18">
        <v>37963</v>
      </c>
      <c r="G14" s="18">
        <v>38480</v>
      </c>
      <c r="H14" s="14">
        <f t="shared" si="2"/>
        <v>17</v>
      </c>
      <c r="I14" s="17" t="s">
        <v>505</v>
      </c>
      <c r="J14" s="17">
        <v>1</v>
      </c>
      <c r="K14" s="17">
        <v>1</v>
      </c>
      <c r="L14" s="17">
        <v>1</v>
      </c>
      <c r="M14" s="17"/>
      <c r="N14" s="17"/>
      <c r="O14" s="17">
        <v>1</v>
      </c>
      <c r="P14" s="17">
        <v>1</v>
      </c>
      <c r="Q14" s="17">
        <v>1</v>
      </c>
      <c r="R14" s="17"/>
      <c r="S14" s="17">
        <v>1</v>
      </c>
      <c r="T14" s="17">
        <v>1</v>
      </c>
      <c r="U14" s="17"/>
      <c r="V14" s="17">
        <v>1</v>
      </c>
      <c r="W14" s="17"/>
      <c r="X14" s="17">
        <v>1</v>
      </c>
      <c r="Y14" s="17">
        <v>1</v>
      </c>
      <c r="Z14" s="17">
        <v>1</v>
      </c>
      <c r="AA14" s="17">
        <v>1</v>
      </c>
      <c r="AB14" s="17">
        <v>1</v>
      </c>
      <c r="AC14" s="17">
        <v>1</v>
      </c>
      <c r="AD14" s="17"/>
      <c r="AE14" s="17">
        <v>1</v>
      </c>
      <c r="AF14" s="17">
        <v>1</v>
      </c>
      <c r="AG14" s="17"/>
      <c r="AH14" s="17">
        <v>1</v>
      </c>
      <c r="AI14" s="17"/>
      <c r="AJ14" s="17">
        <v>1</v>
      </c>
      <c r="AK14" s="17">
        <v>1</v>
      </c>
      <c r="AL14" s="17">
        <v>1</v>
      </c>
      <c r="AM14" s="17"/>
      <c r="AN14" s="17"/>
      <c r="AO14" s="17" t="s">
        <v>507</v>
      </c>
      <c r="AP14" s="17" t="s">
        <v>506</v>
      </c>
      <c r="AQ14" s="17">
        <v>1</v>
      </c>
      <c r="AR14" s="17">
        <v>2</v>
      </c>
      <c r="AS14" s="17"/>
      <c r="AT14" s="17">
        <v>2</v>
      </c>
      <c r="AU14" s="17">
        <v>2</v>
      </c>
      <c r="AV14" s="17">
        <v>2</v>
      </c>
      <c r="AW14" s="17">
        <v>1</v>
      </c>
      <c r="AX14" s="17">
        <v>1</v>
      </c>
      <c r="AY14" s="17">
        <v>2</v>
      </c>
      <c r="AZ14" s="17">
        <v>2</v>
      </c>
      <c r="BA14" s="17">
        <v>1</v>
      </c>
      <c r="BB14" s="17">
        <v>2</v>
      </c>
      <c r="BC14" s="17"/>
      <c r="BD14" s="17"/>
      <c r="BE14" s="17">
        <v>1</v>
      </c>
      <c r="BF14" s="17">
        <v>1</v>
      </c>
      <c r="BG14" s="17"/>
      <c r="BH14" s="17">
        <v>1</v>
      </c>
      <c r="BI14" s="17">
        <v>1</v>
      </c>
      <c r="BJ14" s="17">
        <v>2</v>
      </c>
      <c r="BK14" s="17"/>
      <c r="BL14" s="17">
        <v>1</v>
      </c>
      <c r="BM14" s="17"/>
      <c r="BN14" s="17">
        <v>2</v>
      </c>
      <c r="BO14" s="17"/>
      <c r="BP14" s="17">
        <v>2</v>
      </c>
      <c r="BQ14" s="17">
        <v>1</v>
      </c>
      <c r="BR14" s="17">
        <v>2</v>
      </c>
      <c r="BS14" s="17">
        <v>1</v>
      </c>
      <c r="BT14" s="17"/>
      <c r="BU14" s="17">
        <v>1</v>
      </c>
      <c r="BV14" s="17">
        <v>2</v>
      </c>
      <c r="BW14" s="17">
        <v>2</v>
      </c>
      <c r="BX14" s="17"/>
      <c r="BY14" s="17">
        <v>1</v>
      </c>
      <c r="BZ14" s="17">
        <v>1</v>
      </c>
      <c r="CA14" s="17">
        <v>1</v>
      </c>
      <c r="CB14" s="17"/>
      <c r="CC14" s="17"/>
      <c r="CD14" s="17"/>
      <c r="CE14" s="17"/>
      <c r="CF14" s="17">
        <v>1</v>
      </c>
      <c r="CG14" s="17"/>
      <c r="CH14" s="17">
        <v>2</v>
      </c>
      <c r="CI14" s="17">
        <v>1</v>
      </c>
      <c r="CJ14" s="17">
        <v>1</v>
      </c>
      <c r="CK14" s="17"/>
      <c r="CL14" s="17">
        <v>1</v>
      </c>
      <c r="CM14" s="17">
        <v>2</v>
      </c>
      <c r="CN14" s="17">
        <v>1</v>
      </c>
      <c r="CO14" s="17">
        <v>1</v>
      </c>
      <c r="CP14" s="17">
        <v>2</v>
      </c>
      <c r="CQ14" s="17">
        <v>1</v>
      </c>
      <c r="CR14" s="17">
        <v>1</v>
      </c>
      <c r="CS14" s="17"/>
      <c r="CT14" s="17">
        <v>2</v>
      </c>
      <c r="CU14" s="17">
        <v>2</v>
      </c>
      <c r="CV14" s="17">
        <v>2</v>
      </c>
      <c r="CW14" s="17">
        <v>2</v>
      </c>
      <c r="CX14" s="17"/>
      <c r="CY14" s="17">
        <v>1</v>
      </c>
      <c r="CZ14" s="17">
        <v>2</v>
      </c>
      <c r="DA14" s="17"/>
      <c r="DB14" s="17"/>
      <c r="DC14" s="17"/>
      <c r="DD14" s="17">
        <v>1</v>
      </c>
      <c r="DE14" s="17">
        <v>2</v>
      </c>
      <c r="DF14" s="17"/>
      <c r="DG14" s="17">
        <v>1</v>
      </c>
      <c r="DH14" s="17"/>
      <c r="DI14" s="17"/>
      <c r="DJ14" s="17"/>
      <c r="DK14" s="17"/>
      <c r="DL14" s="17">
        <v>1</v>
      </c>
      <c r="DM14" s="17">
        <v>2</v>
      </c>
      <c r="DN14" s="17"/>
      <c r="DO14" s="17"/>
      <c r="DP14" s="17">
        <v>2</v>
      </c>
      <c r="DQ14" s="17">
        <v>2</v>
      </c>
      <c r="DR14" s="17"/>
      <c r="DS14" s="17"/>
      <c r="DT14" s="17">
        <v>2</v>
      </c>
      <c r="DU14" s="17"/>
      <c r="DV14" s="17"/>
      <c r="DW14" s="17"/>
      <c r="DX14" s="17"/>
      <c r="DY14" s="17">
        <v>1</v>
      </c>
      <c r="DZ14" s="17"/>
      <c r="EA14" s="17"/>
      <c r="EB14" s="17"/>
      <c r="EC14" s="17"/>
      <c r="ED14" s="17">
        <v>1</v>
      </c>
      <c r="EE14" s="17"/>
      <c r="EF14" s="17"/>
      <c r="EG14" s="17">
        <v>1</v>
      </c>
      <c r="EH14" s="17"/>
      <c r="EI14" s="17">
        <v>1</v>
      </c>
      <c r="EJ14" s="17"/>
      <c r="EK14" s="17"/>
      <c r="EL14" s="17"/>
      <c r="EM14" s="17">
        <v>1</v>
      </c>
      <c r="EN14" s="17"/>
      <c r="EO14" s="17"/>
      <c r="EP14" s="17"/>
      <c r="EQ14" s="17"/>
      <c r="ER14" s="17"/>
      <c r="ES14" s="17">
        <v>1</v>
      </c>
      <c r="ET14" s="17">
        <v>1</v>
      </c>
      <c r="EU14" s="17">
        <v>1</v>
      </c>
      <c r="EV14" s="17">
        <v>2</v>
      </c>
      <c r="EW14" s="17"/>
      <c r="EX14" s="17">
        <v>1</v>
      </c>
      <c r="EY14" s="17">
        <v>1</v>
      </c>
      <c r="EZ14" s="17"/>
      <c r="FA14" s="17">
        <v>1</v>
      </c>
      <c r="FB14" s="17">
        <v>1</v>
      </c>
      <c r="FC14" s="17"/>
      <c r="FD14" s="17">
        <v>1</v>
      </c>
      <c r="FE14" s="17">
        <v>2</v>
      </c>
      <c r="FF14" s="17"/>
      <c r="FG14" s="17">
        <v>1</v>
      </c>
      <c r="FH14" s="17">
        <v>1</v>
      </c>
      <c r="FI14" s="17">
        <v>1</v>
      </c>
      <c r="FJ14" s="17"/>
      <c r="FK14" s="17"/>
      <c r="FL14" s="17"/>
      <c r="FM14" s="17"/>
      <c r="FN14" s="17"/>
      <c r="FO14" s="17">
        <v>1</v>
      </c>
      <c r="FP14" s="17">
        <v>1</v>
      </c>
      <c r="FQ14" s="17">
        <v>1</v>
      </c>
      <c r="FR14" s="17">
        <v>1</v>
      </c>
      <c r="FS14" s="17"/>
      <c r="FT14" s="17">
        <v>1</v>
      </c>
      <c r="FU14" s="17">
        <v>1</v>
      </c>
      <c r="FV14" s="17"/>
      <c r="FW14" s="17"/>
      <c r="FX14" s="17">
        <v>1</v>
      </c>
      <c r="FY14" s="17"/>
      <c r="FZ14" s="17">
        <v>1</v>
      </c>
      <c r="GA14" s="17"/>
      <c r="GB14" s="17">
        <v>1</v>
      </c>
      <c r="GC14" s="17">
        <v>1</v>
      </c>
      <c r="GD14" s="17"/>
      <c r="GE14" s="17">
        <v>1</v>
      </c>
      <c r="GF14" s="17"/>
      <c r="GG14" s="17"/>
      <c r="GH14" s="17"/>
      <c r="GI14" s="17">
        <v>1</v>
      </c>
      <c r="GJ14" s="17"/>
      <c r="GK14" s="17">
        <v>2</v>
      </c>
      <c r="GL14" s="17">
        <v>1</v>
      </c>
      <c r="GM14" s="17"/>
      <c r="GN14" s="17">
        <v>1</v>
      </c>
      <c r="GO14" s="17"/>
      <c r="GP14" s="17"/>
      <c r="GQ14" s="17"/>
      <c r="GR14" s="17">
        <v>1</v>
      </c>
      <c r="GS14" s="17">
        <v>1</v>
      </c>
      <c r="GT14" s="17"/>
      <c r="GU14" s="17"/>
      <c r="GV14" s="17"/>
      <c r="GW14" s="17">
        <v>1</v>
      </c>
      <c r="GX14" s="17">
        <v>1</v>
      </c>
      <c r="GY14" s="17">
        <v>1</v>
      </c>
      <c r="GZ14" s="17">
        <v>1</v>
      </c>
      <c r="HA14" s="17">
        <v>1</v>
      </c>
      <c r="HB14" s="17">
        <v>1</v>
      </c>
      <c r="HC14" s="17"/>
      <c r="HD14" s="17"/>
      <c r="HE14" s="17"/>
      <c r="HF14" s="17"/>
      <c r="HG14" s="17">
        <v>1</v>
      </c>
      <c r="HH14" s="17"/>
      <c r="HI14" s="17">
        <v>1</v>
      </c>
      <c r="HJ14" s="17"/>
      <c r="HK14" s="17"/>
      <c r="HL14" s="17">
        <v>1</v>
      </c>
      <c r="HM14" s="17"/>
      <c r="HN14" s="17"/>
      <c r="HO14" s="17"/>
      <c r="HP14" s="17">
        <v>1</v>
      </c>
      <c r="HQ14" s="17"/>
      <c r="HR14" s="17"/>
      <c r="HS14" s="17"/>
      <c r="HT14" s="17"/>
      <c r="HU14" s="17"/>
      <c r="HV14" s="17"/>
      <c r="HW14" s="17">
        <v>1</v>
      </c>
      <c r="HX14" s="17"/>
      <c r="HY14" s="17"/>
      <c r="HZ14" s="17">
        <v>1</v>
      </c>
      <c r="IA14" s="17">
        <v>1</v>
      </c>
      <c r="IB14" s="17">
        <v>1</v>
      </c>
      <c r="IC14" s="17"/>
      <c r="ID14" s="17"/>
      <c r="IE14" s="17"/>
      <c r="IF14" s="17">
        <v>1</v>
      </c>
      <c r="IG14" s="17"/>
      <c r="IH14" s="17">
        <v>1</v>
      </c>
      <c r="II14" s="17"/>
      <c r="IJ14" s="17">
        <v>1</v>
      </c>
      <c r="IK14" s="17">
        <v>1</v>
      </c>
      <c r="IL14" s="17"/>
      <c r="IM14" s="17"/>
      <c r="IN14" s="17"/>
      <c r="IO14" s="17">
        <v>1</v>
      </c>
      <c r="IP14" s="17">
        <v>1</v>
      </c>
      <c r="IQ14" s="17"/>
      <c r="IR14" s="17"/>
      <c r="IS14" s="17">
        <v>1</v>
      </c>
      <c r="IT14" s="17">
        <v>1</v>
      </c>
      <c r="IU14" s="17"/>
      <c r="IV14" s="17">
        <v>2</v>
      </c>
      <c r="IW14" s="17"/>
      <c r="IX14" s="17"/>
      <c r="IY14" s="17"/>
      <c r="IZ14" s="17">
        <v>1</v>
      </c>
      <c r="JA14" s="17">
        <v>1</v>
      </c>
      <c r="JB14" s="17"/>
      <c r="JC14" s="17"/>
      <c r="JD14" s="17"/>
      <c r="JE14" s="17">
        <v>1</v>
      </c>
      <c r="JF14" s="17">
        <v>1</v>
      </c>
      <c r="JG14" s="17">
        <v>1</v>
      </c>
      <c r="JH14" s="17">
        <v>1</v>
      </c>
      <c r="JI14" s="17"/>
      <c r="JJ14" s="17"/>
      <c r="JK14" s="17">
        <v>2</v>
      </c>
      <c r="JL14" s="17"/>
      <c r="JM14" s="17">
        <v>1</v>
      </c>
      <c r="JN14" s="17">
        <v>1</v>
      </c>
      <c r="JO14" s="17"/>
      <c r="JP14" s="17"/>
      <c r="JQ14" s="17">
        <v>2</v>
      </c>
      <c r="JR14" s="17">
        <v>2</v>
      </c>
      <c r="JS14" s="17"/>
      <c r="JT14" s="17"/>
      <c r="JU14" s="17"/>
      <c r="JV14" s="17"/>
      <c r="JW14" s="17"/>
      <c r="JX14" s="17">
        <v>1</v>
      </c>
      <c r="JY14" s="17">
        <v>1</v>
      </c>
      <c r="JZ14" s="17">
        <v>2</v>
      </c>
      <c r="KA14" s="17"/>
      <c r="KB14" s="17"/>
      <c r="KC14" s="17">
        <v>2</v>
      </c>
      <c r="KD14" s="17">
        <v>2</v>
      </c>
      <c r="KE14" s="17"/>
      <c r="KF14" s="17">
        <v>1</v>
      </c>
      <c r="KG14" s="17">
        <v>1</v>
      </c>
      <c r="KH14" s="17">
        <v>1</v>
      </c>
      <c r="KI14" s="17">
        <v>1</v>
      </c>
      <c r="KJ14" s="17">
        <v>1</v>
      </c>
      <c r="KK14" s="17"/>
      <c r="KL14" s="17">
        <v>1</v>
      </c>
      <c r="KM14" s="17">
        <v>2</v>
      </c>
      <c r="KN14" s="17"/>
      <c r="KO14" s="17"/>
      <c r="KP14" s="17">
        <v>1</v>
      </c>
      <c r="KQ14" s="17">
        <v>1</v>
      </c>
      <c r="KR14" s="17">
        <v>1</v>
      </c>
      <c r="KS14" s="17"/>
      <c r="KT14" s="17">
        <v>1</v>
      </c>
      <c r="KU14" s="17"/>
      <c r="KV14" s="17">
        <v>1</v>
      </c>
      <c r="KW14" s="17">
        <v>1</v>
      </c>
      <c r="KX14" s="17">
        <v>1</v>
      </c>
      <c r="KY14" s="17"/>
      <c r="KZ14" s="17"/>
      <c r="LA14" s="17">
        <v>1</v>
      </c>
      <c r="LB14" s="17">
        <v>1</v>
      </c>
      <c r="LC14" s="17">
        <v>1</v>
      </c>
      <c r="LD14" s="17">
        <v>2</v>
      </c>
      <c r="LE14" s="17">
        <v>1</v>
      </c>
      <c r="LF14" s="17">
        <v>1</v>
      </c>
      <c r="LG14" s="17">
        <v>1</v>
      </c>
      <c r="LH14" s="17">
        <v>1</v>
      </c>
      <c r="LI14" s="17">
        <v>2</v>
      </c>
      <c r="LJ14" s="17">
        <v>1</v>
      </c>
      <c r="LK14" s="17">
        <v>1</v>
      </c>
      <c r="LL14" s="17">
        <v>1</v>
      </c>
      <c r="LM14" s="17"/>
      <c r="LN14" s="17"/>
      <c r="LO14" s="17">
        <v>1</v>
      </c>
      <c r="LP14" s="17">
        <v>1</v>
      </c>
      <c r="LQ14" s="17">
        <v>1</v>
      </c>
      <c r="LR14" s="17"/>
      <c r="LS14" s="17">
        <v>1</v>
      </c>
      <c r="LT14" s="17">
        <v>1</v>
      </c>
      <c r="LU14" s="17">
        <v>1</v>
      </c>
      <c r="LV14" s="17"/>
      <c r="LW14" s="17">
        <v>1</v>
      </c>
      <c r="LX14" s="17">
        <v>1</v>
      </c>
      <c r="LY14" s="17"/>
      <c r="LZ14" s="17"/>
      <c r="MA14" s="17"/>
      <c r="MB14" s="17"/>
      <c r="MC14" s="17"/>
      <c r="MD14" s="17">
        <v>1</v>
      </c>
      <c r="ME14" s="17"/>
      <c r="MF14" s="17">
        <v>1</v>
      </c>
      <c r="MG14" s="17">
        <v>1</v>
      </c>
      <c r="MH14" s="17"/>
      <c r="MI14" s="17"/>
      <c r="MJ14" s="17"/>
      <c r="MK14" s="17"/>
      <c r="ML14" s="17">
        <v>1</v>
      </c>
      <c r="MM14" s="17">
        <v>1</v>
      </c>
      <c r="MN14" s="17"/>
      <c r="MO14" s="17"/>
      <c r="MP14" s="17">
        <v>1</v>
      </c>
      <c r="MQ14" s="17">
        <v>1</v>
      </c>
      <c r="MR14" s="17">
        <v>1</v>
      </c>
      <c r="MS14" s="17"/>
      <c r="MT14" s="17"/>
      <c r="MU14" s="17"/>
      <c r="MV14" s="17"/>
      <c r="MW14" s="17"/>
      <c r="MX14" s="17"/>
      <c r="MY14" s="17"/>
      <c r="MZ14" s="17"/>
      <c r="NA14" s="17"/>
      <c r="NB14" s="17">
        <v>1</v>
      </c>
      <c r="NC14" s="17"/>
      <c r="ND14" s="17"/>
      <c r="NE14" s="17"/>
      <c r="NF14" s="17"/>
      <c r="NG14" s="17"/>
      <c r="NH14" s="17">
        <v>1</v>
      </c>
      <c r="NI14" s="17">
        <v>1</v>
      </c>
      <c r="NJ14" s="17">
        <v>1</v>
      </c>
      <c r="NK14" s="17"/>
      <c r="NL14" s="17"/>
      <c r="NM14" s="17"/>
      <c r="NN14" s="17"/>
      <c r="NO14" s="17"/>
      <c r="NP14" s="17"/>
      <c r="NQ14" s="17"/>
      <c r="NR14" s="17">
        <v>1</v>
      </c>
      <c r="NS14" s="17">
        <v>1</v>
      </c>
      <c r="NT14" s="17"/>
      <c r="NU14" s="17"/>
      <c r="NV14" s="17">
        <v>1</v>
      </c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>
        <v>1</v>
      </c>
      <c r="OM14" s="17"/>
      <c r="ON14" s="17"/>
      <c r="OO14" s="17"/>
      <c r="OP14" s="17"/>
      <c r="OQ14" s="17"/>
      <c r="OR14" s="17">
        <v>1</v>
      </c>
      <c r="OS14" s="17"/>
      <c r="OT14" s="17"/>
      <c r="OU14" s="17">
        <v>1</v>
      </c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>
        <v>1</v>
      </c>
      <c r="PJ14" s="17">
        <v>1</v>
      </c>
      <c r="PK14" s="17">
        <v>1</v>
      </c>
      <c r="PL14" s="17"/>
      <c r="PM14" s="17"/>
      <c r="PN14" s="17">
        <v>1</v>
      </c>
      <c r="PO14" s="17"/>
      <c r="PP14" s="17"/>
      <c r="PQ14" s="17"/>
      <c r="PR14" s="17"/>
      <c r="PS14" s="17"/>
      <c r="PT14" s="17"/>
      <c r="PU14" s="17"/>
      <c r="PV14" s="17"/>
      <c r="PW14" s="17" t="s">
        <v>506</v>
      </c>
      <c r="PX14" s="17" t="s">
        <v>506</v>
      </c>
      <c r="PY14" s="17" t="s">
        <v>506</v>
      </c>
      <c r="PZ14" s="17" t="s">
        <v>506</v>
      </c>
      <c r="QA14" s="17" t="s">
        <v>506</v>
      </c>
      <c r="QB14" s="17" t="s">
        <v>507</v>
      </c>
      <c r="QC14" s="17" t="s">
        <v>508</v>
      </c>
      <c r="QD14" s="17" t="s">
        <v>508</v>
      </c>
      <c r="QE14" s="17" t="s">
        <v>506</v>
      </c>
      <c r="QF14" s="17" t="s">
        <v>506</v>
      </c>
      <c r="QG14" s="17" t="s">
        <v>507</v>
      </c>
      <c r="QH14" s="17" t="s">
        <v>508</v>
      </c>
      <c r="QI14" s="17">
        <v>1</v>
      </c>
      <c r="QJ14" s="17">
        <v>0</v>
      </c>
      <c r="QK14" s="17"/>
      <c r="QL14" s="17">
        <v>1</v>
      </c>
      <c r="QM14" s="17">
        <v>1</v>
      </c>
      <c r="QN14" s="17">
        <v>0</v>
      </c>
      <c r="QO14" s="17">
        <v>1</v>
      </c>
      <c r="QP14" s="17">
        <v>1</v>
      </c>
      <c r="QQ14" s="17">
        <v>1</v>
      </c>
      <c r="QR14" s="17">
        <v>1</v>
      </c>
      <c r="QS14" s="17">
        <v>1</v>
      </c>
      <c r="QT14" s="17">
        <v>1</v>
      </c>
      <c r="QU14" s="17">
        <v>0</v>
      </c>
      <c r="QV14" s="17">
        <v>0</v>
      </c>
      <c r="QW14" s="17">
        <v>0</v>
      </c>
      <c r="QX14" s="17">
        <v>1</v>
      </c>
      <c r="QY14" s="17">
        <v>1</v>
      </c>
      <c r="QZ14" s="17">
        <v>1</v>
      </c>
      <c r="RA14" s="17">
        <v>1</v>
      </c>
      <c r="RB14" s="17">
        <v>1</v>
      </c>
      <c r="RC14" s="17">
        <v>1</v>
      </c>
      <c r="RD14" s="17">
        <v>0</v>
      </c>
      <c r="RE14" s="17">
        <v>0</v>
      </c>
      <c r="RF14" s="17">
        <v>0</v>
      </c>
      <c r="RG14" s="17">
        <v>0</v>
      </c>
      <c r="RH14" s="17">
        <v>0</v>
      </c>
      <c r="RI14" s="17">
        <v>1</v>
      </c>
      <c r="RJ14" s="17">
        <v>0</v>
      </c>
      <c r="RK14" s="17">
        <v>0</v>
      </c>
      <c r="RL14" s="17">
        <v>0</v>
      </c>
      <c r="RM14" s="17">
        <v>0</v>
      </c>
      <c r="RN14" s="17">
        <v>1</v>
      </c>
      <c r="RO14" s="17">
        <v>1</v>
      </c>
      <c r="RP14" s="17"/>
      <c r="RQ14" s="17">
        <v>0</v>
      </c>
      <c r="RR14" s="17">
        <v>0</v>
      </c>
      <c r="RS14" s="17">
        <v>1</v>
      </c>
      <c r="RT14" s="17">
        <v>0</v>
      </c>
      <c r="RU14" s="17">
        <v>1</v>
      </c>
      <c r="RV14" s="17">
        <v>1</v>
      </c>
      <c r="RW14" s="17">
        <v>1</v>
      </c>
      <c r="RX14" s="17">
        <v>1</v>
      </c>
      <c r="RY14" s="17">
        <v>1</v>
      </c>
      <c r="RZ14" s="17">
        <v>1</v>
      </c>
      <c r="SA14" s="17">
        <v>1</v>
      </c>
      <c r="SB14" s="17">
        <v>1</v>
      </c>
      <c r="SC14" s="17">
        <v>0</v>
      </c>
      <c r="SD14" s="17">
        <v>1</v>
      </c>
      <c r="SE14" s="17">
        <v>1</v>
      </c>
      <c r="SF14" s="17">
        <v>1</v>
      </c>
      <c r="SG14" s="17">
        <v>1</v>
      </c>
      <c r="SH14" s="17">
        <v>1</v>
      </c>
      <c r="SI14" s="17">
        <v>10014</v>
      </c>
      <c r="SJ14" s="19">
        <f t="shared" si="3"/>
        <v>144</v>
      </c>
      <c r="SK14" s="19">
        <f t="shared" si="0"/>
        <v>183</v>
      </c>
      <c r="SL14" s="19">
        <f t="shared" si="1"/>
        <v>39</v>
      </c>
      <c r="SM14" s="9">
        <v>10014</v>
      </c>
      <c r="SN14" s="13" t="s">
        <v>504</v>
      </c>
      <c r="SO14" s="10">
        <v>1</v>
      </c>
      <c r="SP14" s="9">
        <v>1</v>
      </c>
      <c r="SQ14" s="13" t="s">
        <v>518</v>
      </c>
      <c r="SR14" s="9">
        <v>17</v>
      </c>
      <c r="SS14" s="28">
        <v>45.5</v>
      </c>
      <c r="ST14" s="28">
        <v>17</v>
      </c>
      <c r="SU14" s="28">
        <v>185</v>
      </c>
      <c r="SV14" s="28">
        <v>38</v>
      </c>
      <c r="SW14" s="28">
        <v>39</v>
      </c>
      <c r="SX14" s="28">
        <v>34</v>
      </c>
      <c r="SY14" s="29">
        <v>40</v>
      </c>
      <c r="SZ14" s="30">
        <v>35</v>
      </c>
      <c r="TA14" s="31">
        <v>18</v>
      </c>
      <c r="TB14" s="31">
        <v>25</v>
      </c>
    </row>
    <row r="15" spans="1:522" ht="15.75" customHeight="1" x14ac:dyDescent="0.2">
      <c r="A15" s="17">
        <v>10015</v>
      </c>
      <c r="B15" s="17" t="s">
        <v>501</v>
      </c>
      <c r="C15" s="17" t="s">
        <v>502</v>
      </c>
      <c r="D15" s="17" t="s">
        <v>503</v>
      </c>
      <c r="E15" s="17" t="s">
        <v>504</v>
      </c>
      <c r="F15" s="18">
        <v>37963</v>
      </c>
      <c r="G15" s="18">
        <v>38463</v>
      </c>
      <c r="H15" s="14">
        <f t="shared" si="2"/>
        <v>16</v>
      </c>
      <c r="I15" s="17" t="s">
        <v>505</v>
      </c>
      <c r="J15" s="17">
        <v>1</v>
      </c>
      <c r="K15" s="17">
        <v>1</v>
      </c>
      <c r="L15" s="17">
        <v>1</v>
      </c>
      <c r="M15" s="17">
        <v>1</v>
      </c>
      <c r="N15" s="17"/>
      <c r="O15" s="17"/>
      <c r="P15" s="17"/>
      <c r="Q15" s="17">
        <v>1</v>
      </c>
      <c r="R15" s="17">
        <v>1</v>
      </c>
      <c r="S15" s="17">
        <v>1</v>
      </c>
      <c r="T15" s="17">
        <v>1</v>
      </c>
      <c r="U15" s="17">
        <v>1</v>
      </c>
      <c r="V15" s="17">
        <v>1</v>
      </c>
      <c r="W15" s="17"/>
      <c r="X15" s="17">
        <v>1</v>
      </c>
      <c r="Y15" s="17">
        <v>1</v>
      </c>
      <c r="Z15" s="17">
        <v>1</v>
      </c>
      <c r="AA15" s="17">
        <v>1</v>
      </c>
      <c r="AB15" s="17">
        <v>1</v>
      </c>
      <c r="AC15" s="17"/>
      <c r="AD15" s="17"/>
      <c r="AE15" s="17">
        <v>1</v>
      </c>
      <c r="AF15" s="17">
        <v>1</v>
      </c>
      <c r="AG15" s="17">
        <v>1</v>
      </c>
      <c r="AH15" s="17">
        <v>1</v>
      </c>
      <c r="AI15" s="17">
        <v>1</v>
      </c>
      <c r="AJ15" s="17">
        <v>1</v>
      </c>
      <c r="AK15" s="17">
        <v>1</v>
      </c>
      <c r="AL15" s="17">
        <v>1</v>
      </c>
      <c r="AM15" s="17"/>
      <c r="AN15" s="17">
        <v>1</v>
      </c>
      <c r="AO15" s="17" t="s">
        <v>506</v>
      </c>
      <c r="AP15" s="17" t="s">
        <v>507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>
        <v>2</v>
      </c>
      <c r="BE15" s="17"/>
      <c r="BF15" s="17">
        <v>1</v>
      </c>
      <c r="BG15" s="17"/>
      <c r="BH15" s="17"/>
      <c r="BI15" s="17"/>
      <c r="BJ15" s="17">
        <v>1</v>
      </c>
      <c r="BK15" s="17"/>
      <c r="BL15" s="17"/>
      <c r="BM15" s="17"/>
      <c r="BN15" s="17">
        <v>1</v>
      </c>
      <c r="BO15" s="17"/>
      <c r="BP15" s="17">
        <v>1</v>
      </c>
      <c r="BQ15" s="17">
        <v>1</v>
      </c>
      <c r="BR15" s="17"/>
      <c r="BS15" s="17">
        <v>1</v>
      </c>
      <c r="BT15" s="17"/>
      <c r="BU15" s="17"/>
      <c r="BV15" s="17"/>
      <c r="BW15" s="17"/>
      <c r="BX15" s="17"/>
      <c r="BY15" s="17">
        <v>1</v>
      </c>
      <c r="BZ15" s="17">
        <v>1</v>
      </c>
      <c r="CA15" s="17"/>
      <c r="CB15" s="17"/>
      <c r="CC15" s="17"/>
      <c r="CD15" s="17">
        <v>2</v>
      </c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>
        <v>1</v>
      </c>
      <c r="CP15" s="17">
        <v>1</v>
      </c>
      <c r="CQ15" s="17">
        <v>1</v>
      </c>
      <c r="CR15" s="17"/>
      <c r="CS15" s="17">
        <v>1</v>
      </c>
      <c r="CT15" s="17"/>
      <c r="CU15" s="17"/>
      <c r="CV15" s="17">
        <v>1</v>
      </c>
      <c r="CW15" s="17">
        <v>2</v>
      </c>
      <c r="CX15" s="17"/>
      <c r="CY15" s="17">
        <v>2</v>
      </c>
      <c r="CZ15" s="17">
        <v>2</v>
      </c>
      <c r="DA15" s="17"/>
      <c r="DB15" s="17">
        <v>1</v>
      </c>
      <c r="DC15" s="17"/>
      <c r="DD15" s="17"/>
      <c r="DE15" s="17">
        <v>2</v>
      </c>
      <c r="DF15" s="17">
        <v>1</v>
      </c>
      <c r="DG15" s="17"/>
      <c r="DH15" s="17"/>
      <c r="DI15" s="17"/>
      <c r="DJ15" s="17"/>
      <c r="DK15" s="17"/>
      <c r="DL15" s="17"/>
      <c r="DM15" s="17">
        <v>2</v>
      </c>
      <c r="DN15" s="17"/>
      <c r="DO15" s="17"/>
      <c r="DP15" s="17"/>
      <c r="DQ15" s="17"/>
      <c r="DR15" s="17">
        <v>1</v>
      </c>
      <c r="DS15" s="17">
        <v>1</v>
      </c>
      <c r="DT15" s="17"/>
      <c r="DU15" s="17">
        <v>1</v>
      </c>
      <c r="DV15" s="17">
        <v>1</v>
      </c>
      <c r="DW15" s="17">
        <v>2</v>
      </c>
      <c r="DX15" s="17"/>
      <c r="DY15" s="17">
        <v>2</v>
      </c>
      <c r="DZ15" s="17">
        <v>2</v>
      </c>
      <c r="EA15" s="17"/>
      <c r="EB15" s="17">
        <v>2</v>
      </c>
      <c r="EC15" s="17"/>
      <c r="ED15" s="17"/>
      <c r="EE15" s="17"/>
      <c r="EF15" s="17"/>
      <c r="EG15" s="17">
        <v>1</v>
      </c>
      <c r="EH15" s="17"/>
      <c r="EI15" s="17"/>
      <c r="EJ15" s="17"/>
      <c r="EK15" s="17"/>
      <c r="EL15" s="17"/>
      <c r="EM15" s="17">
        <v>1</v>
      </c>
      <c r="EN15" s="17"/>
      <c r="EO15" s="17">
        <v>1</v>
      </c>
      <c r="EP15" s="17">
        <v>1</v>
      </c>
      <c r="EQ15" s="17"/>
      <c r="ER15" s="17"/>
      <c r="ES15" s="17"/>
      <c r="ET15" s="17">
        <v>1</v>
      </c>
      <c r="EU15" s="17">
        <v>1</v>
      </c>
      <c r="EV15" s="17">
        <v>2</v>
      </c>
      <c r="EW15" s="17"/>
      <c r="EX15" s="17">
        <v>1</v>
      </c>
      <c r="EY15" s="17"/>
      <c r="EZ15" s="17">
        <v>1</v>
      </c>
      <c r="FA15" s="17"/>
      <c r="FB15" s="17"/>
      <c r="FC15" s="17"/>
      <c r="FD15" s="17">
        <v>1</v>
      </c>
      <c r="FE15" s="17">
        <v>1</v>
      </c>
      <c r="FF15" s="17"/>
      <c r="FG15" s="17">
        <v>1</v>
      </c>
      <c r="FH15" s="17">
        <v>1</v>
      </c>
      <c r="FI15" s="17">
        <v>1</v>
      </c>
      <c r="FJ15" s="17">
        <v>1</v>
      </c>
      <c r="FK15" s="17">
        <v>1</v>
      </c>
      <c r="FL15" s="17"/>
      <c r="FM15" s="17"/>
      <c r="FN15" s="17">
        <v>1</v>
      </c>
      <c r="FO15" s="17">
        <v>1</v>
      </c>
      <c r="FP15" s="17"/>
      <c r="FQ15" s="17">
        <v>1</v>
      </c>
      <c r="FR15" s="17">
        <v>1</v>
      </c>
      <c r="FS15" s="17"/>
      <c r="FT15" s="17"/>
      <c r="FU15" s="17">
        <v>1</v>
      </c>
      <c r="FV15" s="17">
        <v>1</v>
      </c>
      <c r="FW15" s="17">
        <v>1</v>
      </c>
      <c r="FX15" s="17"/>
      <c r="FY15" s="17">
        <v>1</v>
      </c>
      <c r="FZ15" s="17">
        <v>1</v>
      </c>
      <c r="GA15" s="17">
        <v>1</v>
      </c>
      <c r="GB15" s="17"/>
      <c r="GC15" s="17">
        <v>1</v>
      </c>
      <c r="GD15" s="17"/>
      <c r="GE15" s="17">
        <v>1</v>
      </c>
      <c r="GF15" s="17">
        <v>1</v>
      </c>
      <c r="GG15" s="17"/>
      <c r="GH15" s="17"/>
      <c r="GI15" s="17">
        <v>1</v>
      </c>
      <c r="GJ15" s="17"/>
      <c r="GK15" s="17">
        <v>1</v>
      </c>
      <c r="GL15" s="17">
        <v>1</v>
      </c>
      <c r="GM15" s="17"/>
      <c r="GN15" s="17">
        <v>1</v>
      </c>
      <c r="GO15" s="17"/>
      <c r="GP15" s="17">
        <v>1</v>
      </c>
      <c r="GQ15" s="17">
        <v>1</v>
      </c>
      <c r="GR15" s="17"/>
      <c r="GS15" s="17"/>
      <c r="GT15" s="17">
        <v>1</v>
      </c>
      <c r="GU15" s="17"/>
      <c r="GV15" s="17"/>
      <c r="GW15" s="17"/>
      <c r="GX15" s="17">
        <v>1</v>
      </c>
      <c r="GY15" s="17">
        <v>1</v>
      </c>
      <c r="GZ15" s="17">
        <v>1</v>
      </c>
      <c r="HA15" s="17"/>
      <c r="HB15" s="17">
        <v>1</v>
      </c>
      <c r="HC15" s="17"/>
      <c r="HD15" s="17">
        <v>1</v>
      </c>
      <c r="HE15" s="17">
        <v>1</v>
      </c>
      <c r="HF15" s="17">
        <v>1</v>
      </c>
      <c r="HG15" s="17">
        <v>1</v>
      </c>
      <c r="HH15" s="17">
        <v>1</v>
      </c>
      <c r="HI15" s="17">
        <v>1</v>
      </c>
      <c r="HJ15" s="17"/>
      <c r="HK15" s="17">
        <v>1</v>
      </c>
      <c r="HL15" s="17">
        <v>2</v>
      </c>
      <c r="HM15" s="17">
        <v>1</v>
      </c>
      <c r="HN15" s="17">
        <v>1</v>
      </c>
      <c r="HO15" s="17">
        <v>1</v>
      </c>
      <c r="HP15" s="17"/>
      <c r="HQ15" s="17"/>
      <c r="HR15" s="17"/>
      <c r="HS15" s="17"/>
      <c r="HT15" s="17"/>
      <c r="HU15" s="17">
        <v>1</v>
      </c>
      <c r="HV15" s="17"/>
      <c r="HW15" s="17"/>
      <c r="HX15" s="17"/>
      <c r="HY15" s="17"/>
      <c r="HZ15" s="17"/>
      <c r="IA15" s="17"/>
      <c r="IB15" s="17">
        <v>1</v>
      </c>
      <c r="IC15" s="17">
        <v>1</v>
      </c>
      <c r="ID15" s="17"/>
      <c r="IE15" s="17"/>
      <c r="IF15" s="17"/>
      <c r="IG15" s="17">
        <v>1</v>
      </c>
      <c r="IH15" s="17">
        <v>1</v>
      </c>
      <c r="II15" s="17"/>
      <c r="IJ15" s="17">
        <v>1</v>
      </c>
      <c r="IK15" s="17">
        <v>2</v>
      </c>
      <c r="IL15" s="17">
        <v>1</v>
      </c>
      <c r="IM15" s="17"/>
      <c r="IN15" s="17">
        <v>1</v>
      </c>
      <c r="IO15" s="17"/>
      <c r="IP15" s="17"/>
      <c r="IQ15" s="17"/>
      <c r="IR15" s="17">
        <v>1</v>
      </c>
      <c r="IS15" s="17"/>
      <c r="IT15" s="17">
        <v>1</v>
      </c>
      <c r="IU15" s="17"/>
      <c r="IV15" s="17"/>
      <c r="IW15" s="17"/>
      <c r="IX15" s="17"/>
      <c r="IY15" s="17">
        <v>1</v>
      </c>
      <c r="IZ15" s="17">
        <v>1</v>
      </c>
      <c r="JA15" s="17">
        <v>1</v>
      </c>
      <c r="JB15" s="17"/>
      <c r="JC15" s="17"/>
      <c r="JD15" s="17"/>
      <c r="JE15" s="17">
        <v>2</v>
      </c>
      <c r="JF15" s="17"/>
      <c r="JG15" s="17"/>
      <c r="JH15" s="17"/>
      <c r="JI15" s="17"/>
      <c r="JJ15" s="17"/>
      <c r="JK15" s="17">
        <v>2</v>
      </c>
      <c r="JL15" s="17"/>
      <c r="JM15" s="17">
        <v>1</v>
      </c>
      <c r="JN15" s="17">
        <v>1</v>
      </c>
      <c r="JO15" s="17"/>
      <c r="JP15" s="17"/>
      <c r="JQ15" s="17">
        <v>2</v>
      </c>
      <c r="JR15" s="17">
        <v>1</v>
      </c>
      <c r="JS15" s="17"/>
      <c r="JT15" s="17"/>
      <c r="JU15" s="17"/>
      <c r="JV15" s="17"/>
      <c r="JW15" s="17"/>
      <c r="JX15" s="17">
        <v>1</v>
      </c>
      <c r="JY15" s="17">
        <v>1</v>
      </c>
      <c r="JZ15" s="17">
        <v>2</v>
      </c>
      <c r="KA15" s="17">
        <v>1</v>
      </c>
      <c r="KB15" s="17"/>
      <c r="KC15" s="17">
        <v>2</v>
      </c>
      <c r="KD15" s="17">
        <v>2</v>
      </c>
      <c r="KE15" s="17">
        <v>1</v>
      </c>
      <c r="KF15" s="17">
        <v>1</v>
      </c>
      <c r="KG15" s="17">
        <v>2</v>
      </c>
      <c r="KH15" s="17">
        <v>2</v>
      </c>
      <c r="KI15" s="17"/>
      <c r="KJ15" s="17">
        <v>1</v>
      </c>
      <c r="KK15" s="17"/>
      <c r="KL15" s="17"/>
      <c r="KM15" s="17"/>
      <c r="KN15" s="17"/>
      <c r="KO15" s="17"/>
      <c r="KP15" s="17">
        <v>1</v>
      </c>
      <c r="KQ15" s="17">
        <v>1</v>
      </c>
      <c r="KR15" s="17">
        <v>1</v>
      </c>
      <c r="KS15" s="17"/>
      <c r="KT15" s="17">
        <v>1</v>
      </c>
      <c r="KU15" s="17"/>
      <c r="KV15" s="17">
        <v>1</v>
      </c>
      <c r="KW15" s="17">
        <v>1</v>
      </c>
      <c r="KX15" s="17"/>
      <c r="KY15" s="17">
        <v>1</v>
      </c>
      <c r="KZ15" s="17">
        <v>1</v>
      </c>
      <c r="LA15" s="17">
        <v>1</v>
      </c>
      <c r="LB15" s="17">
        <v>1</v>
      </c>
      <c r="LC15" s="17">
        <v>1</v>
      </c>
      <c r="LD15" s="17"/>
      <c r="LE15" s="17"/>
      <c r="LF15" s="17">
        <v>1</v>
      </c>
      <c r="LG15" s="17">
        <v>1</v>
      </c>
      <c r="LH15" s="17">
        <v>1</v>
      </c>
      <c r="LI15" s="17">
        <v>1</v>
      </c>
      <c r="LJ15" s="17">
        <v>1</v>
      </c>
      <c r="LK15" s="17"/>
      <c r="LL15" s="17">
        <v>1</v>
      </c>
      <c r="LM15" s="17"/>
      <c r="LN15" s="17"/>
      <c r="LO15" s="17"/>
      <c r="LP15" s="17">
        <v>1</v>
      </c>
      <c r="LQ15" s="17">
        <v>1</v>
      </c>
      <c r="LR15" s="17"/>
      <c r="LS15" s="17">
        <v>1</v>
      </c>
      <c r="LT15" s="17">
        <v>1</v>
      </c>
      <c r="LU15" s="17">
        <v>1</v>
      </c>
      <c r="LV15" s="17">
        <v>1</v>
      </c>
      <c r="LW15" s="17">
        <v>1</v>
      </c>
      <c r="LX15" s="17">
        <v>1</v>
      </c>
      <c r="LY15" s="17">
        <v>1</v>
      </c>
      <c r="LZ15" s="17"/>
      <c r="MA15" s="17">
        <v>1</v>
      </c>
      <c r="MB15" s="17">
        <v>1</v>
      </c>
      <c r="MC15" s="17">
        <v>1</v>
      </c>
      <c r="MD15" s="17">
        <v>1</v>
      </c>
      <c r="ME15" s="17">
        <v>1</v>
      </c>
      <c r="MF15" s="17"/>
      <c r="MG15" s="17">
        <v>1</v>
      </c>
      <c r="MH15" s="17"/>
      <c r="MI15" s="17">
        <v>1</v>
      </c>
      <c r="MJ15" s="17">
        <v>1</v>
      </c>
      <c r="MK15" s="17"/>
      <c r="ML15" s="17">
        <v>1</v>
      </c>
      <c r="MM15" s="17">
        <v>1</v>
      </c>
      <c r="MN15" s="17"/>
      <c r="MO15" s="17"/>
      <c r="MP15" s="17">
        <v>1</v>
      </c>
      <c r="MQ15" s="17">
        <v>1</v>
      </c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>
        <v>1</v>
      </c>
      <c r="NC15" s="17"/>
      <c r="ND15" s="17"/>
      <c r="NE15" s="17"/>
      <c r="NF15" s="17"/>
      <c r="NG15" s="17"/>
      <c r="NH15" s="17"/>
      <c r="NI15" s="17">
        <v>1</v>
      </c>
      <c r="NJ15" s="17">
        <v>1</v>
      </c>
      <c r="NK15" s="17"/>
      <c r="NL15" s="17"/>
      <c r="NM15" s="17">
        <v>1</v>
      </c>
      <c r="NN15" s="17">
        <v>1</v>
      </c>
      <c r="NO15" s="17">
        <v>1</v>
      </c>
      <c r="NP15" s="17"/>
      <c r="NQ15" s="17"/>
      <c r="NR15" s="17"/>
      <c r="NS15" s="17"/>
      <c r="NT15" s="17"/>
      <c r="NU15" s="17"/>
      <c r="NV15" s="17">
        <v>1</v>
      </c>
      <c r="NW15" s="17">
        <v>1</v>
      </c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>
        <v>1</v>
      </c>
      <c r="OK15" s="17">
        <v>1</v>
      </c>
      <c r="OL15" s="17"/>
      <c r="OM15" s="17"/>
      <c r="ON15" s="17"/>
      <c r="OO15" s="17"/>
      <c r="OP15" s="17"/>
      <c r="OQ15" s="17"/>
      <c r="OR15" s="17">
        <v>2</v>
      </c>
      <c r="OS15" s="17"/>
      <c r="OT15" s="17">
        <v>2</v>
      </c>
      <c r="OU15" s="17">
        <v>2</v>
      </c>
      <c r="OV15" s="17"/>
      <c r="OW15" s="17"/>
      <c r="OX15" s="17"/>
      <c r="OY15" s="17"/>
      <c r="OZ15" s="17"/>
      <c r="PA15" s="17"/>
      <c r="PB15" s="17"/>
      <c r="PC15" s="17"/>
      <c r="PD15" s="17"/>
      <c r="PE15" s="17">
        <v>1</v>
      </c>
      <c r="PF15" s="17">
        <v>1</v>
      </c>
      <c r="PG15" s="17">
        <v>1</v>
      </c>
      <c r="PH15" s="17">
        <v>1</v>
      </c>
      <c r="PI15" s="17">
        <v>1</v>
      </c>
      <c r="PJ15" s="17">
        <v>1</v>
      </c>
      <c r="PK15" s="17">
        <v>1</v>
      </c>
      <c r="PL15" s="17"/>
      <c r="PM15" s="17">
        <v>1</v>
      </c>
      <c r="PN15" s="17">
        <v>1</v>
      </c>
      <c r="PO15" s="17"/>
      <c r="PP15" s="17">
        <v>1</v>
      </c>
      <c r="PQ15" s="17">
        <v>2</v>
      </c>
      <c r="PR15" s="17"/>
      <c r="PS15" s="17"/>
      <c r="PT15" s="17"/>
      <c r="PU15" s="17"/>
      <c r="PV15" s="17"/>
      <c r="PW15" s="17" t="s">
        <v>506</v>
      </c>
      <c r="PX15" s="17" t="s">
        <v>506</v>
      </c>
      <c r="PY15" s="17" t="s">
        <v>506</v>
      </c>
      <c r="PZ15" s="17" t="s">
        <v>506</v>
      </c>
      <c r="QA15" s="17" t="s">
        <v>506</v>
      </c>
      <c r="QB15" s="17" t="s">
        <v>508</v>
      </c>
      <c r="QC15" s="17" t="s">
        <v>508</v>
      </c>
      <c r="QD15" s="17" t="s">
        <v>508</v>
      </c>
      <c r="QE15" s="17" t="s">
        <v>506</v>
      </c>
      <c r="QF15" s="17" t="s">
        <v>508</v>
      </c>
      <c r="QG15" s="17" t="s">
        <v>507</v>
      </c>
      <c r="QH15" s="17" t="s">
        <v>508</v>
      </c>
      <c r="QI15" s="17">
        <v>1</v>
      </c>
      <c r="QJ15" s="17">
        <v>0</v>
      </c>
      <c r="QK15" s="17">
        <v>1</v>
      </c>
      <c r="QL15" s="17">
        <v>1</v>
      </c>
      <c r="QM15" s="17">
        <v>1</v>
      </c>
      <c r="QN15" s="17">
        <v>1</v>
      </c>
      <c r="QO15" s="17">
        <v>1</v>
      </c>
      <c r="QP15" s="17">
        <v>1</v>
      </c>
      <c r="QQ15" s="17">
        <v>1</v>
      </c>
      <c r="QR15" s="17">
        <v>1</v>
      </c>
      <c r="QS15" s="17">
        <v>1</v>
      </c>
      <c r="QT15" s="17">
        <v>0</v>
      </c>
      <c r="QU15" s="17">
        <v>1</v>
      </c>
      <c r="QV15" s="17">
        <v>1</v>
      </c>
      <c r="QW15" s="17">
        <v>1</v>
      </c>
      <c r="QX15" s="17">
        <v>1</v>
      </c>
      <c r="QY15" s="17">
        <v>0</v>
      </c>
      <c r="QZ15" s="17">
        <v>1</v>
      </c>
      <c r="RA15" s="17">
        <v>0</v>
      </c>
      <c r="RB15" s="17">
        <v>1</v>
      </c>
      <c r="RC15" s="17">
        <v>1</v>
      </c>
      <c r="RD15" s="17">
        <v>1</v>
      </c>
      <c r="RE15" s="17">
        <v>0</v>
      </c>
      <c r="RF15" s="17">
        <v>0</v>
      </c>
      <c r="RG15" s="17">
        <v>0</v>
      </c>
      <c r="RH15" s="17">
        <v>0</v>
      </c>
      <c r="RI15" s="17">
        <v>1</v>
      </c>
      <c r="RJ15" s="17">
        <v>1</v>
      </c>
      <c r="RK15" s="17">
        <v>0</v>
      </c>
      <c r="RL15" s="17">
        <v>0</v>
      </c>
      <c r="RM15" s="17">
        <v>0</v>
      </c>
      <c r="RN15" s="17">
        <v>0</v>
      </c>
      <c r="RO15" s="17">
        <v>1</v>
      </c>
      <c r="RP15" s="17">
        <v>0</v>
      </c>
      <c r="RQ15" s="17">
        <v>0</v>
      </c>
      <c r="RR15" s="17">
        <v>0</v>
      </c>
      <c r="RS15" s="17">
        <v>1</v>
      </c>
      <c r="RT15" s="17">
        <v>1</v>
      </c>
      <c r="RU15" s="17">
        <v>1</v>
      </c>
      <c r="RV15" s="17">
        <v>0</v>
      </c>
      <c r="RW15" s="17">
        <v>1</v>
      </c>
      <c r="RX15" s="17">
        <v>1</v>
      </c>
      <c r="RY15" s="17">
        <v>0</v>
      </c>
      <c r="RZ15" s="17">
        <v>0</v>
      </c>
      <c r="SA15" s="17">
        <v>1</v>
      </c>
      <c r="SB15" s="17">
        <v>1</v>
      </c>
      <c r="SC15" s="17">
        <v>0</v>
      </c>
      <c r="SD15" s="17">
        <v>1</v>
      </c>
      <c r="SE15" s="17">
        <v>1</v>
      </c>
      <c r="SF15" s="17">
        <v>1</v>
      </c>
      <c r="SG15" s="17">
        <v>1</v>
      </c>
      <c r="SH15" s="17">
        <v>0</v>
      </c>
      <c r="SI15" s="17">
        <v>10015</v>
      </c>
      <c r="SJ15" s="19">
        <f t="shared" si="3"/>
        <v>148</v>
      </c>
      <c r="SK15" s="19">
        <f t="shared" si="0"/>
        <v>174</v>
      </c>
      <c r="SL15" s="19">
        <f t="shared" si="1"/>
        <v>26</v>
      </c>
      <c r="SM15" s="9">
        <v>10015</v>
      </c>
      <c r="SN15" s="9" t="s">
        <v>504</v>
      </c>
      <c r="SO15" s="10">
        <v>1</v>
      </c>
      <c r="SP15" s="9" t="s">
        <v>563</v>
      </c>
      <c r="SQ15" s="11" t="s">
        <v>517</v>
      </c>
      <c r="SR15" s="9">
        <v>18</v>
      </c>
      <c r="SS15" s="28" t="s">
        <v>563</v>
      </c>
      <c r="ST15" s="28">
        <v>16</v>
      </c>
      <c r="SU15" s="28">
        <v>175</v>
      </c>
      <c r="SV15" s="28">
        <v>50</v>
      </c>
      <c r="SW15" s="28">
        <v>27</v>
      </c>
      <c r="SX15" s="28">
        <v>46</v>
      </c>
      <c r="SY15" s="29">
        <v>39</v>
      </c>
      <c r="SZ15" s="30">
        <v>48</v>
      </c>
      <c r="TA15" s="31">
        <v>21</v>
      </c>
      <c r="TB15" s="31">
        <v>45</v>
      </c>
    </row>
    <row r="16" spans="1:522" ht="15.75" customHeight="1" x14ac:dyDescent="0.2">
      <c r="A16" s="17">
        <v>10016</v>
      </c>
      <c r="B16" s="17" t="s">
        <v>501</v>
      </c>
      <c r="C16" s="17" t="s">
        <v>502</v>
      </c>
      <c r="D16" s="17" t="s">
        <v>503</v>
      </c>
      <c r="E16" s="17" t="s">
        <v>509</v>
      </c>
      <c r="F16" s="18">
        <v>37970</v>
      </c>
      <c r="G16" s="18">
        <v>38465</v>
      </c>
      <c r="H16" s="14">
        <f t="shared" si="2"/>
        <v>16</v>
      </c>
      <c r="I16" s="17" t="s">
        <v>505</v>
      </c>
      <c r="J16" s="17">
        <v>1</v>
      </c>
      <c r="K16" s="17">
        <v>1</v>
      </c>
      <c r="L16" s="17">
        <v>1</v>
      </c>
      <c r="M16" s="17">
        <v>1</v>
      </c>
      <c r="N16" s="17"/>
      <c r="O16" s="17"/>
      <c r="P16" s="17">
        <v>1</v>
      </c>
      <c r="Q16" s="17">
        <v>1</v>
      </c>
      <c r="R16" s="17">
        <v>1</v>
      </c>
      <c r="S16" s="17">
        <v>1</v>
      </c>
      <c r="T16" s="17">
        <v>1</v>
      </c>
      <c r="U16" s="17">
        <v>1</v>
      </c>
      <c r="V16" s="17"/>
      <c r="W16" s="17">
        <v>1</v>
      </c>
      <c r="X16" s="17"/>
      <c r="Y16" s="17">
        <v>1</v>
      </c>
      <c r="Z16" s="17">
        <v>1</v>
      </c>
      <c r="AA16" s="17"/>
      <c r="AB16" s="17">
        <v>1</v>
      </c>
      <c r="AC16" s="17">
        <v>1</v>
      </c>
      <c r="AD16" s="17"/>
      <c r="AE16" s="17">
        <v>1</v>
      </c>
      <c r="AF16" s="17"/>
      <c r="AG16" s="17">
        <v>1</v>
      </c>
      <c r="AH16" s="17">
        <v>1</v>
      </c>
      <c r="AI16" s="17"/>
      <c r="AJ16" s="17"/>
      <c r="AK16" s="17">
        <v>1</v>
      </c>
      <c r="AL16" s="17">
        <v>1</v>
      </c>
      <c r="AM16" s="17"/>
      <c r="AN16" s="17"/>
      <c r="AO16" s="17" t="s">
        <v>507</v>
      </c>
      <c r="AP16" s="17" t="s">
        <v>507</v>
      </c>
      <c r="AQ16" s="17"/>
      <c r="AR16" s="17"/>
      <c r="AS16" s="17"/>
      <c r="AT16" s="17"/>
      <c r="AU16" s="17"/>
      <c r="AV16" s="17">
        <v>2</v>
      </c>
      <c r="AW16" s="17"/>
      <c r="AX16" s="17">
        <v>2</v>
      </c>
      <c r="AY16" s="17">
        <v>2</v>
      </c>
      <c r="AZ16" s="17"/>
      <c r="BA16" s="17">
        <v>1</v>
      </c>
      <c r="BB16" s="17">
        <v>1</v>
      </c>
      <c r="BC16" s="17"/>
      <c r="BD16" s="17"/>
      <c r="BE16" s="17"/>
      <c r="BF16" s="17">
        <v>1</v>
      </c>
      <c r="BG16" s="17"/>
      <c r="BH16" s="17"/>
      <c r="BI16" s="17">
        <v>1</v>
      </c>
      <c r="BJ16" s="17"/>
      <c r="BK16" s="17"/>
      <c r="BL16" s="17">
        <v>1</v>
      </c>
      <c r="BM16" s="17"/>
      <c r="BN16" s="17">
        <v>1</v>
      </c>
      <c r="BO16" s="17"/>
      <c r="BP16" s="17">
        <v>2</v>
      </c>
      <c r="BQ16" s="17">
        <v>1</v>
      </c>
      <c r="BR16" s="17">
        <v>2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>
        <v>2</v>
      </c>
      <c r="CG16" s="17"/>
      <c r="CH16" s="17"/>
      <c r="CI16" s="17"/>
      <c r="CJ16" s="17"/>
      <c r="CK16" s="17"/>
      <c r="CL16" s="17">
        <v>2</v>
      </c>
      <c r="CM16" s="17">
        <v>1</v>
      </c>
      <c r="CN16" s="17"/>
      <c r="CO16" s="17"/>
      <c r="CP16" s="17">
        <v>2</v>
      </c>
      <c r="CQ16" s="17"/>
      <c r="CR16" s="17"/>
      <c r="CS16" s="17">
        <v>1</v>
      </c>
      <c r="CT16" s="17"/>
      <c r="CU16" s="17"/>
      <c r="CV16" s="17">
        <v>2</v>
      </c>
      <c r="CW16" s="17">
        <v>2</v>
      </c>
      <c r="CX16" s="17"/>
      <c r="CY16" s="17">
        <v>2</v>
      </c>
      <c r="CZ16" s="17">
        <v>2</v>
      </c>
      <c r="DA16" s="17"/>
      <c r="DB16" s="17">
        <v>1</v>
      </c>
      <c r="DC16" s="17"/>
      <c r="DD16" s="17">
        <v>1</v>
      </c>
      <c r="DE16" s="17">
        <v>2</v>
      </c>
      <c r="DF16" s="17"/>
      <c r="DG16" s="17"/>
      <c r="DH16" s="17"/>
      <c r="DI16" s="17"/>
      <c r="DJ16" s="17"/>
      <c r="DK16" s="17">
        <v>1</v>
      </c>
      <c r="DL16" s="17"/>
      <c r="DM16" s="17"/>
      <c r="DN16" s="17">
        <v>1</v>
      </c>
      <c r="DO16" s="17"/>
      <c r="DP16" s="17">
        <v>2</v>
      </c>
      <c r="DQ16" s="17"/>
      <c r="DR16" s="17">
        <v>1</v>
      </c>
      <c r="DS16" s="17"/>
      <c r="DT16" s="17"/>
      <c r="DU16" s="17"/>
      <c r="DV16" s="17"/>
      <c r="DW16" s="17"/>
      <c r="DX16" s="17"/>
      <c r="DY16" s="17">
        <v>2</v>
      </c>
      <c r="DZ16" s="17"/>
      <c r="EA16" s="17"/>
      <c r="EB16" s="17"/>
      <c r="EC16" s="17"/>
      <c r="ED16" s="17"/>
      <c r="EE16" s="17"/>
      <c r="EF16" s="17">
        <v>2</v>
      </c>
      <c r="EG16" s="17">
        <v>2</v>
      </c>
      <c r="EH16" s="17"/>
      <c r="EI16" s="17">
        <v>1</v>
      </c>
      <c r="EJ16" s="17"/>
      <c r="EK16" s="17">
        <v>1</v>
      </c>
      <c r="EL16" s="17">
        <v>1</v>
      </c>
      <c r="EM16" s="17">
        <v>2</v>
      </c>
      <c r="EN16" s="17"/>
      <c r="EO16" s="17">
        <v>2</v>
      </c>
      <c r="EP16" s="17">
        <v>1</v>
      </c>
      <c r="EQ16" s="17"/>
      <c r="ER16" s="17"/>
      <c r="ES16" s="17">
        <v>1</v>
      </c>
      <c r="ET16" s="17">
        <v>1</v>
      </c>
      <c r="EU16" s="17">
        <v>1</v>
      </c>
      <c r="EV16" s="17">
        <v>2</v>
      </c>
      <c r="EW16" s="17"/>
      <c r="EX16" s="17">
        <v>2</v>
      </c>
      <c r="EY16" s="17">
        <v>1</v>
      </c>
      <c r="EZ16" s="17"/>
      <c r="FA16" s="17"/>
      <c r="FB16" s="17">
        <v>2</v>
      </c>
      <c r="FC16" s="17"/>
      <c r="FD16" s="17">
        <v>2</v>
      </c>
      <c r="FE16" s="17">
        <v>1</v>
      </c>
      <c r="FF16" s="17"/>
      <c r="FG16" s="17">
        <v>1</v>
      </c>
      <c r="FH16" s="17"/>
      <c r="FI16" s="17">
        <v>2</v>
      </c>
      <c r="FJ16" s="17">
        <v>1</v>
      </c>
      <c r="FK16" s="17">
        <v>1</v>
      </c>
      <c r="FL16" s="17"/>
      <c r="FM16" s="17"/>
      <c r="FN16" s="17">
        <v>1</v>
      </c>
      <c r="FO16" s="17">
        <v>2</v>
      </c>
      <c r="FP16" s="17">
        <v>1</v>
      </c>
      <c r="FQ16" s="17">
        <v>1</v>
      </c>
      <c r="FR16" s="17"/>
      <c r="FS16" s="17">
        <v>1</v>
      </c>
      <c r="FT16" s="17"/>
      <c r="FU16" s="17"/>
      <c r="FV16" s="17"/>
      <c r="FW16" s="17">
        <v>1</v>
      </c>
      <c r="FX16" s="17">
        <v>1</v>
      </c>
      <c r="FY16" s="17"/>
      <c r="FZ16" s="17">
        <v>1</v>
      </c>
      <c r="GA16" s="17"/>
      <c r="GB16" s="17">
        <v>1</v>
      </c>
      <c r="GC16" s="17">
        <v>1</v>
      </c>
      <c r="GD16" s="17"/>
      <c r="GE16" s="17"/>
      <c r="GF16" s="17"/>
      <c r="GG16" s="17"/>
      <c r="GH16" s="17"/>
      <c r="GI16" s="17">
        <v>2</v>
      </c>
      <c r="GJ16" s="17"/>
      <c r="GK16" s="17">
        <v>1</v>
      </c>
      <c r="GL16" s="17">
        <v>1</v>
      </c>
      <c r="GM16" s="17"/>
      <c r="GN16" s="17">
        <v>1</v>
      </c>
      <c r="GO16" s="17"/>
      <c r="GP16" s="17"/>
      <c r="GQ16" s="17"/>
      <c r="GR16" s="17"/>
      <c r="GS16" s="17"/>
      <c r="GT16" s="17">
        <v>1</v>
      </c>
      <c r="GU16" s="17"/>
      <c r="GV16" s="17"/>
      <c r="GW16" s="17"/>
      <c r="GX16" s="17">
        <v>1</v>
      </c>
      <c r="GY16" s="17">
        <v>1</v>
      </c>
      <c r="GZ16" s="17">
        <v>1</v>
      </c>
      <c r="HA16" s="17">
        <v>1</v>
      </c>
      <c r="HB16" s="17">
        <v>1</v>
      </c>
      <c r="HC16" s="17"/>
      <c r="HD16" s="17"/>
      <c r="HE16" s="17">
        <v>1</v>
      </c>
      <c r="HF16" s="17">
        <v>1</v>
      </c>
      <c r="HG16" s="17">
        <v>1</v>
      </c>
      <c r="HH16" s="17">
        <v>1</v>
      </c>
      <c r="HI16" s="17">
        <v>1</v>
      </c>
      <c r="HJ16" s="17">
        <v>1</v>
      </c>
      <c r="HK16" s="17">
        <v>1</v>
      </c>
      <c r="HL16" s="17">
        <v>2</v>
      </c>
      <c r="HM16" s="17">
        <v>1</v>
      </c>
      <c r="HN16" s="17"/>
      <c r="HO16" s="17">
        <v>1</v>
      </c>
      <c r="HP16" s="17"/>
      <c r="HQ16" s="17"/>
      <c r="HR16" s="17"/>
      <c r="HS16" s="17"/>
      <c r="HT16" s="17">
        <v>1</v>
      </c>
      <c r="HU16" s="17">
        <v>1</v>
      </c>
      <c r="HV16" s="17"/>
      <c r="HW16" s="17"/>
      <c r="HX16" s="17"/>
      <c r="HY16" s="17"/>
      <c r="HZ16" s="17"/>
      <c r="IA16" s="17">
        <v>2</v>
      </c>
      <c r="IB16" s="17"/>
      <c r="IC16" s="17"/>
      <c r="ID16" s="17"/>
      <c r="IE16" s="17"/>
      <c r="IF16" s="17">
        <v>2</v>
      </c>
      <c r="IG16" s="17"/>
      <c r="IH16" s="17">
        <v>1</v>
      </c>
      <c r="II16" s="17"/>
      <c r="IJ16" s="17">
        <v>1</v>
      </c>
      <c r="IK16" s="17">
        <v>2</v>
      </c>
      <c r="IL16" s="17">
        <v>1</v>
      </c>
      <c r="IM16" s="17"/>
      <c r="IN16" s="17"/>
      <c r="IO16" s="17"/>
      <c r="IP16" s="17"/>
      <c r="IQ16" s="17"/>
      <c r="IR16" s="17"/>
      <c r="IS16" s="17"/>
      <c r="IT16" s="17">
        <v>1</v>
      </c>
      <c r="IU16" s="17"/>
      <c r="IV16" s="17">
        <v>1</v>
      </c>
      <c r="IW16" s="17"/>
      <c r="IX16" s="17">
        <v>1</v>
      </c>
      <c r="IY16" s="17">
        <v>1</v>
      </c>
      <c r="IZ16" s="17">
        <v>1</v>
      </c>
      <c r="JA16" s="17"/>
      <c r="JB16" s="17"/>
      <c r="JC16" s="17"/>
      <c r="JD16" s="17"/>
      <c r="JE16" s="17">
        <v>2</v>
      </c>
      <c r="JF16" s="17"/>
      <c r="JG16" s="17">
        <v>2</v>
      </c>
      <c r="JH16" s="17"/>
      <c r="JI16" s="17"/>
      <c r="JJ16" s="17"/>
      <c r="JK16" s="17">
        <v>2</v>
      </c>
      <c r="JL16" s="17"/>
      <c r="JM16" s="17"/>
      <c r="JN16" s="17"/>
      <c r="JO16" s="17"/>
      <c r="JP16" s="17"/>
      <c r="JQ16" s="17">
        <v>2</v>
      </c>
      <c r="JR16" s="17">
        <v>2</v>
      </c>
      <c r="JS16" s="17"/>
      <c r="JT16" s="17"/>
      <c r="JU16" s="17"/>
      <c r="JV16" s="17"/>
      <c r="JW16" s="17"/>
      <c r="JX16" s="17">
        <v>1</v>
      </c>
      <c r="JY16" s="17"/>
      <c r="JZ16" s="17">
        <v>2</v>
      </c>
      <c r="KA16" s="17"/>
      <c r="KB16" s="17"/>
      <c r="KC16" s="17"/>
      <c r="KD16" s="17">
        <v>2</v>
      </c>
      <c r="KE16" s="17"/>
      <c r="KF16" s="17">
        <v>1</v>
      </c>
      <c r="KG16" s="17">
        <v>1</v>
      </c>
      <c r="KH16" s="17">
        <v>2</v>
      </c>
      <c r="KI16" s="17"/>
      <c r="KJ16" s="17">
        <v>1</v>
      </c>
      <c r="KK16" s="17"/>
      <c r="KL16" s="17">
        <v>2</v>
      </c>
      <c r="KM16" s="17">
        <v>1</v>
      </c>
      <c r="KN16" s="17"/>
      <c r="KO16" s="17"/>
      <c r="KP16" s="17">
        <v>2</v>
      </c>
      <c r="KQ16" s="17"/>
      <c r="KR16" s="17">
        <v>1</v>
      </c>
      <c r="KS16" s="17"/>
      <c r="KT16" s="17"/>
      <c r="KU16" s="17"/>
      <c r="KV16" s="17">
        <v>1</v>
      </c>
      <c r="KW16" s="17">
        <v>1</v>
      </c>
      <c r="KX16" s="17">
        <v>1</v>
      </c>
      <c r="KY16" s="17">
        <v>1</v>
      </c>
      <c r="KZ16" s="17"/>
      <c r="LA16" s="17">
        <v>1</v>
      </c>
      <c r="LB16" s="17"/>
      <c r="LC16" s="17">
        <v>1</v>
      </c>
      <c r="LD16" s="17"/>
      <c r="LE16" s="17"/>
      <c r="LF16" s="17"/>
      <c r="LG16" s="17"/>
      <c r="LH16" s="17">
        <v>1</v>
      </c>
      <c r="LI16" s="17">
        <v>2</v>
      </c>
      <c r="LJ16" s="17">
        <v>1</v>
      </c>
      <c r="LK16" s="17"/>
      <c r="LL16" s="17"/>
      <c r="LM16" s="17"/>
      <c r="LN16" s="17">
        <v>1</v>
      </c>
      <c r="LO16" s="17">
        <v>1</v>
      </c>
      <c r="LP16" s="17"/>
      <c r="LQ16" s="17">
        <v>1</v>
      </c>
      <c r="LR16" s="17">
        <v>1</v>
      </c>
      <c r="LS16" s="17">
        <v>1</v>
      </c>
      <c r="LT16" s="17">
        <v>1</v>
      </c>
      <c r="LU16" s="17"/>
      <c r="LV16" s="17"/>
      <c r="LW16" s="17"/>
      <c r="LX16" s="17">
        <v>1</v>
      </c>
      <c r="LY16" s="17"/>
      <c r="LZ16" s="17"/>
      <c r="MA16" s="17">
        <v>1</v>
      </c>
      <c r="MB16" s="17"/>
      <c r="MC16" s="17">
        <v>1</v>
      </c>
      <c r="MD16" s="17">
        <v>1</v>
      </c>
      <c r="ME16" s="17">
        <v>1</v>
      </c>
      <c r="MF16" s="17">
        <v>1</v>
      </c>
      <c r="MG16" s="17">
        <v>1</v>
      </c>
      <c r="MH16" s="17"/>
      <c r="MI16" s="17"/>
      <c r="MJ16" s="17">
        <v>1</v>
      </c>
      <c r="MK16" s="17"/>
      <c r="ML16" s="17">
        <v>1</v>
      </c>
      <c r="MM16" s="17">
        <v>1</v>
      </c>
      <c r="MN16" s="17"/>
      <c r="MO16" s="17"/>
      <c r="MP16" s="17">
        <v>1</v>
      </c>
      <c r="MQ16" s="17">
        <v>1</v>
      </c>
      <c r="MR16" s="17">
        <v>1</v>
      </c>
      <c r="MS16" s="17"/>
      <c r="MT16" s="17"/>
      <c r="MU16" s="17"/>
      <c r="MV16" s="17"/>
      <c r="MW16" s="17"/>
      <c r="MX16" s="17"/>
      <c r="MY16" s="17"/>
      <c r="MZ16" s="17"/>
      <c r="NA16" s="17"/>
      <c r="NB16" s="17">
        <v>1</v>
      </c>
      <c r="NC16" s="17"/>
      <c r="ND16" s="17"/>
      <c r="NE16" s="17"/>
      <c r="NF16" s="17"/>
      <c r="NG16" s="17"/>
      <c r="NH16" s="17"/>
      <c r="NI16" s="17">
        <v>1</v>
      </c>
      <c r="NJ16" s="17">
        <v>1</v>
      </c>
      <c r="NK16" s="17">
        <v>1</v>
      </c>
      <c r="NL16" s="17"/>
      <c r="NM16" s="17">
        <v>1</v>
      </c>
      <c r="NN16" s="17"/>
      <c r="NO16" s="17">
        <v>1</v>
      </c>
      <c r="NP16" s="17"/>
      <c r="NQ16" s="17"/>
      <c r="NR16" s="17">
        <v>1</v>
      </c>
      <c r="NS16" s="17"/>
      <c r="NT16" s="17"/>
      <c r="NU16" s="17"/>
      <c r="NV16" s="17">
        <v>2</v>
      </c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>
        <v>1</v>
      </c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>
        <v>2</v>
      </c>
      <c r="OV16" s="17"/>
      <c r="OW16" s="17"/>
      <c r="OX16" s="17"/>
      <c r="OY16" s="17">
        <v>2</v>
      </c>
      <c r="OZ16" s="17"/>
      <c r="PA16" s="17"/>
      <c r="PB16" s="17"/>
      <c r="PC16" s="17"/>
      <c r="PD16" s="17"/>
      <c r="PE16" s="17"/>
      <c r="PF16" s="17"/>
      <c r="PG16" s="17"/>
      <c r="PH16" s="17"/>
      <c r="PI16" s="17">
        <v>2</v>
      </c>
      <c r="PJ16" s="17"/>
      <c r="PK16" s="17">
        <v>2</v>
      </c>
      <c r="PL16" s="17"/>
      <c r="PM16" s="17"/>
      <c r="PN16" s="17">
        <v>2</v>
      </c>
      <c r="PO16" s="17"/>
      <c r="PP16" s="17"/>
      <c r="PQ16" s="17">
        <v>1</v>
      </c>
      <c r="PR16" s="17"/>
      <c r="PS16" s="17"/>
      <c r="PT16" s="17"/>
      <c r="PU16" s="17"/>
      <c r="PV16" s="17"/>
      <c r="PW16" s="17" t="s">
        <v>506</v>
      </c>
      <c r="PX16" s="17" t="s">
        <v>507</v>
      </c>
      <c r="PY16" s="17"/>
      <c r="PZ16" s="17"/>
      <c r="QA16" s="17" t="s">
        <v>507</v>
      </c>
      <c r="QB16" s="17"/>
      <c r="QC16" s="17" t="s">
        <v>507</v>
      </c>
      <c r="QD16" s="17" t="s">
        <v>506</v>
      </c>
      <c r="QE16" s="17" t="s">
        <v>506</v>
      </c>
      <c r="QF16" s="17" t="s">
        <v>507</v>
      </c>
      <c r="QG16" s="17" t="s">
        <v>507</v>
      </c>
      <c r="QH16" s="17" t="s">
        <v>508</v>
      </c>
      <c r="QI16" s="17">
        <v>1</v>
      </c>
      <c r="QJ16" s="17"/>
      <c r="QK16" s="17">
        <v>0</v>
      </c>
      <c r="QL16" s="17">
        <v>1</v>
      </c>
      <c r="QM16" s="17">
        <v>1</v>
      </c>
      <c r="QN16" s="17">
        <v>1</v>
      </c>
      <c r="QO16" s="17">
        <v>1</v>
      </c>
      <c r="QP16" s="17">
        <v>1</v>
      </c>
      <c r="QQ16" s="17">
        <v>1</v>
      </c>
      <c r="QR16" s="17">
        <v>1</v>
      </c>
      <c r="QS16" s="17">
        <v>1</v>
      </c>
      <c r="QT16" s="17">
        <v>1</v>
      </c>
      <c r="QU16" s="17">
        <v>1</v>
      </c>
      <c r="QV16" s="17">
        <v>1</v>
      </c>
      <c r="QW16" s="17">
        <v>0</v>
      </c>
      <c r="QX16" s="17">
        <v>0</v>
      </c>
      <c r="QY16" s="17">
        <v>0</v>
      </c>
      <c r="QZ16" s="17">
        <v>1</v>
      </c>
      <c r="RA16" s="17">
        <v>1</v>
      </c>
      <c r="RB16" s="17">
        <v>1</v>
      </c>
      <c r="RC16" s="17">
        <v>1</v>
      </c>
      <c r="RD16" s="17">
        <v>0</v>
      </c>
      <c r="RE16" s="17">
        <v>0</v>
      </c>
      <c r="RF16" s="17">
        <v>0</v>
      </c>
      <c r="RG16" s="17">
        <v>0</v>
      </c>
      <c r="RH16" s="17">
        <v>0</v>
      </c>
      <c r="RI16" s="17">
        <v>0</v>
      </c>
      <c r="RJ16" s="17">
        <v>0</v>
      </c>
      <c r="RK16" s="17">
        <v>0</v>
      </c>
      <c r="RL16" s="17">
        <v>1</v>
      </c>
      <c r="RM16" s="17">
        <v>0</v>
      </c>
      <c r="RN16" s="17">
        <v>1</v>
      </c>
      <c r="RO16" s="17">
        <v>0</v>
      </c>
      <c r="RP16" s="17">
        <v>0</v>
      </c>
      <c r="RQ16" s="17">
        <v>0</v>
      </c>
      <c r="RR16" s="17">
        <v>0</v>
      </c>
      <c r="RS16" s="17">
        <v>1</v>
      </c>
      <c r="RT16" s="17">
        <v>1</v>
      </c>
      <c r="RU16" s="17">
        <v>0</v>
      </c>
      <c r="RV16" s="17">
        <v>0</v>
      </c>
      <c r="RW16" s="17">
        <v>0</v>
      </c>
      <c r="RX16" s="17">
        <v>1</v>
      </c>
      <c r="RY16" s="17">
        <v>0</v>
      </c>
      <c r="RZ16" s="17">
        <v>0</v>
      </c>
      <c r="SA16" s="17">
        <v>1</v>
      </c>
      <c r="SB16" s="17">
        <v>1</v>
      </c>
      <c r="SC16" s="17">
        <v>0</v>
      </c>
      <c r="SD16" s="17">
        <v>1</v>
      </c>
      <c r="SE16" s="17">
        <v>1</v>
      </c>
      <c r="SF16" s="17">
        <v>1</v>
      </c>
      <c r="SG16" s="17">
        <v>1</v>
      </c>
      <c r="SH16" s="17">
        <v>1</v>
      </c>
      <c r="SI16" s="17">
        <v>10016</v>
      </c>
      <c r="SJ16" s="19">
        <f t="shared" si="3"/>
        <v>105</v>
      </c>
      <c r="SK16" s="19">
        <f t="shared" si="0"/>
        <v>152</v>
      </c>
      <c r="SL16" s="19">
        <f t="shared" si="1"/>
        <v>47</v>
      </c>
      <c r="SM16" s="9">
        <v>10016</v>
      </c>
      <c r="SN16" s="9" t="s">
        <v>509</v>
      </c>
      <c r="SO16" s="10">
        <v>1</v>
      </c>
      <c r="SP16" s="9">
        <v>1</v>
      </c>
      <c r="SQ16" s="11" t="s">
        <v>515</v>
      </c>
      <c r="SR16" s="9">
        <v>16</v>
      </c>
      <c r="SS16" s="28">
        <v>53</v>
      </c>
      <c r="ST16" s="28">
        <v>16</v>
      </c>
      <c r="SU16" s="28">
        <v>155</v>
      </c>
      <c r="SV16" s="28">
        <v>31</v>
      </c>
      <c r="SW16" s="28">
        <v>49</v>
      </c>
      <c r="SX16" s="28">
        <v>55</v>
      </c>
      <c r="SY16" s="29">
        <v>38</v>
      </c>
      <c r="SZ16" s="30">
        <v>25</v>
      </c>
      <c r="TA16" s="31">
        <v>17</v>
      </c>
      <c r="TB16" s="31">
        <v>20</v>
      </c>
    </row>
    <row r="17" spans="1:522" ht="15.75" customHeight="1" x14ac:dyDescent="0.2">
      <c r="A17" s="17">
        <v>10017</v>
      </c>
      <c r="B17" s="17" t="s">
        <v>501</v>
      </c>
      <c r="C17" s="17" t="s">
        <v>502</v>
      </c>
      <c r="D17" s="17" t="s">
        <v>503</v>
      </c>
      <c r="E17" s="17" t="s">
        <v>504</v>
      </c>
      <c r="F17" s="18">
        <v>37965</v>
      </c>
      <c r="G17" s="18">
        <v>38467</v>
      </c>
      <c r="H17" s="14">
        <f t="shared" si="2"/>
        <v>16</v>
      </c>
      <c r="I17" s="17" t="s">
        <v>505</v>
      </c>
      <c r="J17" s="17">
        <v>1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/>
      <c r="Q17" s="17">
        <v>1</v>
      </c>
      <c r="R17" s="17">
        <v>1</v>
      </c>
      <c r="S17" s="17">
        <v>1</v>
      </c>
      <c r="T17" s="17">
        <v>1</v>
      </c>
      <c r="U17" s="17">
        <v>1</v>
      </c>
      <c r="V17" s="17"/>
      <c r="W17" s="17"/>
      <c r="X17" s="17">
        <v>1</v>
      </c>
      <c r="Y17" s="17"/>
      <c r="Z17" s="17">
        <v>1</v>
      </c>
      <c r="AA17" s="17">
        <v>1</v>
      </c>
      <c r="AB17" s="17">
        <v>1</v>
      </c>
      <c r="AC17" s="17">
        <v>1</v>
      </c>
      <c r="AD17" s="17">
        <v>1</v>
      </c>
      <c r="AE17" s="17"/>
      <c r="AF17" s="17">
        <v>1</v>
      </c>
      <c r="AG17" s="17">
        <v>1</v>
      </c>
      <c r="AH17" s="17">
        <v>1</v>
      </c>
      <c r="AI17" s="17">
        <v>1</v>
      </c>
      <c r="AJ17" s="17">
        <v>1</v>
      </c>
      <c r="AK17" s="17">
        <v>1</v>
      </c>
      <c r="AL17" s="17">
        <v>1</v>
      </c>
      <c r="AM17" s="17"/>
      <c r="AN17" s="17">
        <v>1</v>
      </c>
      <c r="AO17" s="17" t="s">
        <v>507</v>
      </c>
      <c r="AP17" s="17" t="s">
        <v>508</v>
      </c>
      <c r="AQ17" s="17">
        <v>2</v>
      </c>
      <c r="AR17" s="17">
        <v>2</v>
      </c>
      <c r="AS17" s="17">
        <v>1</v>
      </c>
      <c r="AT17" s="17">
        <v>1</v>
      </c>
      <c r="AU17" s="17">
        <v>2</v>
      </c>
      <c r="AV17" s="17">
        <v>2</v>
      </c>
      <c r="AW17" s="17"/>
      <c r="AX17" s="17">
        <v>1</v>
      </c>
      <c r="AY17" s="17">
        <v>2</v>
      </c>
      <c r="AZ17" s="17">
        <v>2</v>
      </c>
      <c r="BA17" s="17">
        <v>2</v>
      </c>
      <c r="BB17" s="17">
        <v>2</v>
      </c>
      <c r="BC17" s="17">
        <v>2</v>
      </c>
      <c r="BD17" s="17"/>
      <c r="BE17" s="17"/>
      <c r="BF17" s="17">
        <v>1</v>
      </c>
      <c r="BG17" s="17"/>
      <c r="BH17" s="17"/>
      <c r="BI17" s="17"/>
      <c r="BJ17" s="17">
        <v>1</v>
      </c>
      <c r="BK17" s="17"/>
      <c r="BL17" s="17">
        <v>1</v>
      </c>
      <c r="BM17" s="17"/>
      <c r="BN17" s="17">
        <v>1</v>
      </c>
      <c r="BO17" s="17"/>
      <c r="BP17" s="17">
        <v>1</v>
      </c>
      <c r="BQ17" s="17"/>
      <c r="BR17" s="17">
        <v>1</v>
      </c>
      <c r="BS17" s="17"/>
      <c r="BT17" s="17"/>
      <c r="BU17" s="17"/>
      <c r="BV17" s="17"/>
      <c r="BW17" s="17">
        <v>1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>
        <v>1</v>
      </c>
      <c r="CJ17" s="17"/>
      <c r="CK17" s="17"/>
      <c r="CL17" s="17"/>
      <c r="CM17" s="17">
        <v>2</v>
      </c>
      <c r="CN17" s="17"/>
      <c r="CO17" s="17"/>
      <c r="CP17" s="17">
        <v>1</v>
      </c>
      <c r="CQ17" s="17">
        <v>1</v>
      </c>
      <c r="CR17" s="17">
        <v>1</v>
      </c>
      <c r="CS17" s="17">
        <v>1</v>
      </c>
      <c r="CT17" s="17"/>
      <c r="CU17" s="17"/>
      <c r="CV17" s="17"/>
      <c r="CW17" s="17"/>
      <c r="CX17" s="17"/>
      <c r="CY17" s="17">
        <v>1</v>
      </c>
      <c r="CZ17" s="17"/>
      <c r="DA17" s="17"/>
      <c r="DB17" s="17"/>
      <c r="DC17" s="17"/>
      <c r="DD17" s="17">
        <v>1</v>
      </c>
      <c r="DE17" s="17">
        <v>2</v>
      </c>
      <c r="DF17" s="17">
        <v>1</v>
      </c>
      <c r="DG17" s="17"/>
      <c r="DH17" s="17"/>
      <c r="DI17" s="17"/>
      <c r="DJ17" s="17"/>
      <c r="DK17" s="17">
        <v>1</v>
      </c>
      <c r="DL17" s="17"/>
      <c r="DM17" s="17"/>
      <c r="DN17" s="17"/>
      <c r="DO17" s="17"/>
      <c r="DP17" s="17">
        <v>1</v>
      </c>
      <c r="DQ17" s="17">
        <v>1</v>
      </c>
      <c r="DR17" s="17">
        <v>1</v>
      </c>
      <c r="DS17" s="17"/>
      <c r="DT17" s="17"/>
      <c r="DU17" s="17">
        <v>1</v>
      </c>
      <c r="DV17" s="17"/>
      <c r="DW17" s="17"/>
      <c r="DX17" s="17"/>
      <c r="DY17" s="17"/>
      <c r="DZ17" s="17">
        <v>1</v>
      </c>
      <c r="EA17" s="17"/>
      <c r="EB17" s="17"/>
      <c r="EC17" s="17"/>
      <c r="ED17" s="17">
        <v>1</v>
      </c>
      <c r="EE17" s="17">
        <v>1</v>
      </c>
      <c r="EF17" s="17"/>
      <c r="EG17" s="17">
        <v>1</v>
      </c>
      <c r="EH17" s="17"/>
      <c r="EI17" s="17"/>
      <c r="EJ17" s="17"/>
      <c r="EK17" s="17"/>
      <c r="EL17" s="17"/>
      <c r="EM17" s="17">
        <v>1</v>
      </c>
      <c r="EN17" s="17"/>
      <c r="EO17" s="17">
        <v>1</v>
      </c>
      <c r="EP17" s="17"/>
      <c r="EQ17" s="17"/>
      <c r="ER17" s="17"/>
      <c r="ES17" s="17"/>
      <c r="ET17" s="17"/>
      <c r="EU17" s="17"/>
      <c r="EV17" s="17">
        <v>1</v>
      </c>
      <c r="EW17" s="17"/>
      <c r="EX17" s="17">
        <v>1</v>
      </c>
      <c r="EY17" s="17"/>
      <c r="EZ17" s="17"/>
      <c r="FA17" s="17"/>
      <c r="FB17" s="17">
        <v>1</v>
      </c>
      <c r="FC17" s="17"/>
      <c r="FD17" s="17">
        <v>1</v>
      </c>
      <c r="FE17" s="17">
        <v>1</v>
      </c>
      <c r="FF17" s="17"/>
      <c r="FG17" s="17"/>
      <c r="FH17" s="17"/>
      <c r="FI17" s="17">
        <v>1</v>
      </c>
      <c r="FJ17" s="17"/>
      <c r="FK17" s="17"/>
      <c r="FL17" s="17"/>
      <c r="FM17" s="17">
        <v>1</v>
      </c>
      <c r="FN17" s="17"/>
      <c r="FO17" s="17">
        <v>1</v>
      </c>
      <c r="FP17" s="17">
        <v>1</v>
      </c>
      <c r="FQ17" s="17">
        <v>1</v>
      </c>
      <c r="FR17" s="17"/>
      <c r="FS17" s="17"/>
      <c r="FT17" s="17">
        <v>1</v>
      </c>
      <c r="FU17" s="17">
        <v>1</v>
      </c>
      <c r="FV17" s="17"/>
      <c r="FW17" s="17">
        <v>1</v>
      </c>
      <c r="FX17" s="17">
        <v>1</v>
      </c>
      <c r="FY17" s="17"/>
      <c r="FZ17" s="17">
        <v>1</v>
      </c>
      <c r="GA17" s="17">
        <v>1</v>
      </c>
      <c r="GB17" s="17"/>
      <c r="GC17" s="17">
        <v>1</v>
      </c>
      <c r="GD17" s="17"/>
      <c r="GE17" s="17"/>
      <c r="GF17" s="17">
        <v>1</v>
      </c>
      <c r="GG17" s="17"/>
      <c r="GH17" s="17">
        <v>1</v>
      </c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>
        <v>1</v>
      </c>
      <c r="GT17" s="17">
        <v>1</v>
      </c>
      <c r="GU17" s="17"/>
      <c r="GV17" s="17">
        <v>1</v>
      </c>
      <c r="GW17" s="17"/>
      <c r="GX17" s="17">
        <v>1</v>
      </c>
      <c r="GY17" s="17">
        <v>1</v>
      </c>
      <c r="GZ17" s="17">
        <v>1</v>
      </c>
      <c r="HA17" s="17">
        <v>1</v>
      </c>
      <c r="HB17" s="17">
        <v>1</v>
      </c>
      <c r="HC17" s="17"/>
      <c r="HD17" s="17">
        <v>1</v>
      </c>
      <c r="HE17" s="17">
        <v>1</v>
      </c>
      <c r="HF17" s="17"/>
      <c r="HG17" s="17"/>
      <c r="HH17" s="17">
        <v>1</v>
      </c>
      <c r="HI17" s="17">
        <v>1</v>
      </c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>
        <v>1</v>
      </c>
      <c r="ID17" s="17"/>
      <c r="IE17" s="17"/>
      <c r="IF17" s="17">
        <v>1</v>
      </c>
      <c r="IG17" s="17">
        <v>1</v>
      </c>
      <c r="IH17" s="17">
        <v>1</v>
      </c>
      <c r="II17" s="17"/>
      <c r="IJ17" s="17">
        <v>1</v>
      </c>
      <c r="IK17" s="17">
        <v>1</v>
      </c>
      <c r="IL17" s="17">
        <v>1</v>
      </c>
      <c r="IM17" s="17"/>
      <c r="IN17" s="17"/>
      <c r="IO17" s="17">
        <v>1</v>
      </c>
      <c r="IP17" s="17"/>
      <c r="IQ17" s="17">
        <v>1</v>
      </c>
      <c r="IR17" s="17"/>
      <c r="IS17" s="17">
        <v>1</v>
      </c>
      <c r="IT17" s="17">
        <v>1</v>
      </c>
      <c r="IU17" s="17"/>
      <c r="IV17" s="17"/>
      <c r="IW17" s="17">
        <v>1</v>
      </c>
      <c r="IX17" s="17"/>
      <c r="IY17" s="17">
        <v>1</v>
      </c>
      <c r="IZ17" s="17">
        <v>1</v>
      </c>
      <c r="JA17" s="17">
        <v>1</v>
      </c>
      <c r="JB17" s="17"/>
      <c r="JC17" s="17"/>
      <c r="JD17" s="17"/>
      <c r="JE17" s="17">
        <v>1</v>
      </c>
      <c r="JF17" s="17"/>
      <c r="JG17" s="17">
        <v>1</v>
      </c>
      <c r="JH17" s="17"/>
      <c r="JI17" s="17"/>
      <c r="JJ17" s="17"/>
      <c r="JK17" s="17">
        <v>1</v>
      </c>
      <c r="JL17" s="17">
        <v>1</v>
      </c>
      <c r="JM17" s="17">
        <v>1</v>
      </c>
      <c r="JN17" s="17">
        <v>1</v>
      </c>
      <c r="JO17" s="17"/>
      <c r="JP17" s="17"/>
      <c r="JQ17" s="17">
        <v>2</v>
      </c>
      <c r="JR17" s="17">
        <v>1</v>
      </c>
      <c r="JS17" s="17"/>
      <c r="JT17" s="17"/>
      <c r="JU17" s="17">
        <v>1</v>
      </c>
      <c r="JV17" s="17"/>
      <c r="JW17" s="17"/>
      <c r="JX17" s="17">
        <v>1</v>
      </c>
      <c r="JY17" s="17">
        <v>1</v>
      </c>
      <c r="JZ17" s="17">
        <v>1</v>
      </c>
      <c r="KA17" s="17">
        <v>1</v>
      </c>
      <c r="KB17" s="17"/>
      <c r="KC17" s="17">
        <v>1</v>
      </c>
      <c r="KD17" s="17">
        <v>1</v>
      </c>
      <c r="KE17" s="17">
        <v>1</v>
      </c>
      <c r="KF17" s="17">
        <v>1</v>
      </c>
      <c r="KG17" s="17">
        <v>1</v>
      </c>
      <c r="KH17" s="17">
        <v>1</v>
      </c>
      <c r="KI17" s="17"/>
      <c r="KJ17" s="17">
        <v>1</v>
      </c>
      <c r="KK17" s="17">
        <v>1</v>
      </c>
      <c r="KL17" s="17"/>
      <c r="KM17" s="17">
        <v>1</v>
      </c>
      <c r="KN17" s="17">
        <v>1</v>
      </c>
      <c r="KO17" s="17"/>
      <c r="KP17" s="17">
        <v>1</v>
      </c>
      <c r="KQ17" s="17"/>
      <c r="KR17" s="17">
        <v>1</v>
      </c>
      <c r="KS17" s="17"/>
      <c r="KT17" s="17">
        <v>1</v>
      </c>
      <c r="KU17" s="17"/>
      <c r="KV17" s="17"/>
      <c r="KW17" s="17">
        <v>1</v>
      </c>
      <c r="KX17" s="17"/>
      <c r="KY17" s="17">
        <v>1</v>
      </c>
      <c r="KZ17" s="17">
        <v>1</v>
      </c>
      <c r="LA17" s="17">
        <v>1</v>
      </c>
      <c r="LB17" s="17"/>
      <c r="LC17" s="17">
        <v>1</v>
      </c>
      <c r="LD17" s="17"/>
      <c r="LE17" s="17">
        <v>1</v>
      </c>
      <c r="LF17" s="17">
        <v>1</v>
      </c>
      <c r="LG17" s="17"/>
      <c r="LH17" s="17">
        <v>1</v>
      </c>
      <c r="LI17" s="17"/>
      <c r="LJ17" s="17">
        <v>1</v>
      </c>
      <c r="LK17" s="17"/>
      <c r="LL17" s="17">
        <v>1</v>
      </c>
      <c r="LM17" s="17"/>
      <c r="LN17" s="17"/>
      <c r="LO17" s="17">
        <v>1</v>
      </c>
      <c r="LP17" s="17">
        <v>1</v>
      </c>
      <c r="LQ17" s="17">
        <v>1</v>
      </c>
      <c r="LR17" s="17">
        <v>1</v>
      </c>
      <c r="LS17" s="17">
        <v>1</v>
      </c>
      <c r="LT17" s="17">
        <v>1</v>
      </c>
      <c r="LU17" s="17"/>
      <c r="LV17" s="17">
        <v>1</v>
      </c>
      <c r="LW17" s="17"/>
      <c r="LX17" s="17">
        <v>1</v>
      </c>
      <c r="LY17" s="17">
        <v>1</v>
      </c>
      <c r="LZ17" s="17"/>
      <c r="MA17" s="17">
        <v>1</v>
      </c>
      <c r="MB17" s="17"/>
      <c r="MC17" s="17">
        <v>1</v>
      </c>
      <c r="MD17" s="17"/>
      <c r="ME17" s="17">
        <v>1</v>
      </c>
      <c r="MF17" s="17"/>
      <c r="MG17" s="17"/>
      <c r="MH17" s="17">
        <v>1</v>
      </c>
      <c r="MI17" s="17"/>
      <c r="MJ17" s="17"/>
      <c r="MK17" s="17">
        <v>1</v>
      </c>
      <c r="ML17" s="17">
        <v>1</v>
      </c>
      <c r="MM17" s="17"/>
      <c r="MN17" s="17">
        <v>1</v>
      </c>
      <c r="MO17" s="17"/>
      <c r="MP17" s="17"/>
      <c r="MQ17" s="17">
        <v>1</v>
      </c>
      <c r="MR17" s="17">
        <v>1</v>
      </c>
      <c r="MS17" s="17"/>
      <c r="MT17" s="17"/>
      <c r="MU17" s="17"/>
      <c r="MV17" s="17"/>
      <c r="MW17" s="17"/>
      <c r="MX17" s="17"/>
      <c r="MY17" s="17"/>
      <c r="MZ17" s="17"/>
      <c r="NA17" s="17"/>
      <c r="NB17" s="17">
        <v>1</v>
      </c>
      <c r="NC17" s="17"/>
      <c r="ND17" s="17"/>
      <c r="NE17" s="17"/>
      <c r="NF17" s="17"/>
      <c r="NG17" s="17"/>
      <c r="NH17" s="17">
        <v>1</v>
      </c>
      <c r="NI17" s="17"/>
      <c r="NJ17" s="17"/>
      <c r="NK17" s="17"/>
      <c r="NL17" s="17"/>
      <c r="NM17" s="17">
        <v>1</v>
      </c>
      <c r="NN17" s="17"/>
      <c r="NO17" s="17">
        <v>1</v>
      </c>
      <c r="NP17" s="17"/>
      <c r="NQ17" s="17"/>
      <c r="NR17" s="17">
        <v>1</v>
      </c>
      <c r="NS17" s="17">
        <v>1</v>
      </c>
      <c r="NT17" s="17">
        <v>1</v>
      </c>
      <c r="NU17" s="17"/>
      <c r="NV17" s="17"/>
      <c r="NW17" s="17">
        <v>1</v>
      </c>
      <c r="NX17" s="17">
        <v>1</v>
      </c>
      <c r="NY17" s="17"/>
      <c r="NZ17" s="17"/>
      <c r="OA17" s="17"/>
      <c r="OB17" s="17"/>
      <c r="OC17" s="17"/>
      <c r="OD17" s="17"/>
      <c r="OE17" s="17"/>
      <c r="OF17" s="17"/>
      <c r="OG17" s="17">
        <v>1</v>
      </c>
      <c r="OH17" s="17"/>
      <c r="OI17" s="17">
        <v>1</v>
      </c>
      <c r="OJ17" s="17">
        <v>1</v>
      </c>
      <c r="OK17" s="17"/>
      <c r="OL17" s="17">
        <v>1</v>
      </c>
      <c r="OM17" s="17"/>
      <c r="ON17" s="17"/>
      <c r="OO17" s="17"/>
      <c r="OP17" s="17">
        <v>1</v>
      </c>
      <c r="OQ17" s="17">
        <v>1</v>
      </c>
      <c r="OR17" s="17">
        <v>1</v>
      </c>
      <c r="OS17" s="17">
        <v>1</v>
      </c>
      <c r="OT17" s="17">
        <v>1</v>
      </c>
      <c r="OU17" s="17">
        <v>1</v>
      </c>
      <c r="OV17" s="17">
        <v>1</v>
      </c>
      <c r="OW17" s="17"/>
      <c r="OX17" s="17"/>
      <c r="OY17" s="17"/>
      <c r="OZ17" s="17"/>
      <c r="PA17" s="17">
        <v>1</v>
      </c>
      <c r="PB17" s="17">
        <v>1</v>
      </c>
      <c r="PC17" s="17"/>
      <c r="PD17" s="17"/>
      <c r="PE17" s="17"/>
      <c r="PF17" s="17">
        <v>1</v>
      </c>
      <c r="PG17" s="17">
        <v>1</v>
      </c>
      <c r="PH17" s="17"/>
      <c r="PI17" s="17">
        <v>1</v>
      </c>
      <c r="PJ17" s="17">
        <v>1</v>
      </c>
      <c r="PK17" s="17">
        <v>1</v>
      </c>
      <c r="PL17" s="17">
        <v>1</v>
      </c>
      <c r="PM17" s="17"/>
      <c r="PN17" s="17">
        <v>1</v>
      </c>
      <c r="PO17" s="17">
        <v>1</v>
      </c>
      <c r="PP17" s="17">
        <v>1</v>
      </c>
      <c r="PQ17" s="17">
        <v>1</v>
      </c>
      <c r="PR17" s="17">
        <v>1</v>
      </c>
      <c r="PS17" s="17"/>
      <c r="PT17" s="17"/>
      <c r="PU17" s="17"/>
      <c r="PV17" s="17"/>
      <c r="PW17" s="17"/>
      <c r="PX17" s="17"/>
      <c r="PY17" s="17" t="s">
        <v>506</v>
      </c>
      <c r="PZ17" s="17"/>
      <c r="QA17" s="17" t="s">
        <v>506</v>
      </c>
      <c r="QB17" s="17" t="s">
        <v>506</v>
      </c>
      <c r="QC17" s="17" t="s">
        <v>506</v>
      </c>
      <c r="QD17" s="17" t="s">
        <v>508</v>
      </c>
      <c r="QE17" s="17" t="s">
        <v>506</v>
      </c>
      <c r="QF17" s="17" t="s">
        <v>506</v>
      </c>
      <c r="QG17" s="17" t="s">
        <v>508</v>
      </c>
      <c r="QH17" s="17" t="s">
        <v>506</v>
      </c>
      <c r="QI17" s="17">
        <v>1</v>
      </c>
      <c r="QJ17" s="17">
        <v>0</v>
      </c>
      <c r="QK17" s="17">
        <v>0</v>
      </c>
      <c r="QL17" s="17">
        <v>1</v>
      </c>
      <c r="QM17" s="17">
        <v>1</v>
      </c>
      <c r="QN17" s="17">
        <v>1</v>
      </c>
      <c r="QO17" s="17">
        <v>1</v>
      </c>
      <c r="QP17" s="17">
        <v>1</v>
      </c>
      <c r="QQ17" s="17">
        <v>1</v>
      </c>
      <c r="QR17" s="17">
        <v>1</v>
      </c>
      <c r="QS17" s="17">
        <v>1</v>
      </c>
      <c r="QT17" s="17">
        <v>1</v>
      </c>
      <c r="QU17" s="17">
        <v>1</v>
      </c>
      <c r="QV17" s="17">
        <v>1</v>
      </c>
      <c r="QW17" s="17">
        <v>0</v>
      </c>
      <c r="QX17" s="17">
        <v>1</v>
      </c>
      <c r="QY17" s="17">
        <v>0</v>
      </c>
      <c r="QZ17" s="17">
        <v>1</v>
      </c>
      <c r="RA17" s="17">
        <v>1</v>
      </c>
      <c r="RB17" s="17">
        <v>1</v>
      </c>
      <c r="RC17" s="17">
        <v>1</v>
      </c>
      <c r="RD17" s="17">
        <v>1</v>
      </c>
      <c r="RE17" s="17">
        <v>1</v>
      </c>
      <c r="RF17" s="17">
        <v>1</v>
      </c>
      <c r="RG17" s="17">
        <v>1</v>
      </c>
      <c r="RH17" s="17">
        <v>0</v>
      </c>
      <c r="RI17" s="17">
        <v>0</v>
      </c>
      <c r="RJ17" s="17">
        <v>1</v>
      </c>
      <c r="RK17" s="17">
        <v>0</v>
      </c>
      <c r="RL17" s="17">
        <v>1</v>
      </c>
      <c r="RM17" s="17">
        <v>0</v>
      </c>
      <c r="RN17" s="17">
        <v>0</v>
      </c>
      <c r="RO17" s="17">
        <v>1</v>
      </c>
      <c r="RP17" s="17">
        <v>0</v>
      </c>
      <c r="RQ17" s="17">
        <v>0</v>
      </c>
      <c r="RR17" s="17">
        <v>1</v>
      </c>
      <c r="RS17" s="17">
        <v>0</v>
      </c>
      <c r="RT17" s="17">
        <v>1</v>
      </c>
      <c r="RU17" s="17">
        <v>1</v>
      </c>
      <c r="RV17" s="17">
        <v>0</v>
      </c>
      <c r="RW17" s="17">
        <v>1</v>
      </c>
      <c r="RX17" s="17">
        <v>1</v>
      </c>
      <c r="RY17" s="17">
        <v>1</v>
      </c>
      <c r="RZ17" s="17">
        <v>1</v>
      </c>
      <c r="SA17" s="17">
        <v>1</v>
      </c>
      <c r="SB17" s="17">
        <v>1</v>
      </c>
      <c r="SC17" s="17">
        <v>0</v>
      </c>
      <c r="SD17" s="17">
        <v>1</v>
      </c>
      <c r="SE17" s="17">
        <v>1</v>
      </c>
      <c r="SF17" s="17">
        <v>1</v>
      </c>
      <c r="SG17" s="17">
        <v>1</v>
      </c>
      <c r="SH17" s="17"/>
      <c r="SI17" s="17">
        <v>10017</v>
      </c>
      <c r="SJ17" s="19">
        <f t="shared" si="3"/>
        <v>161</v>
      </c>
      <c r="SK17" s="19">
        <f t="shared" si="0"/>
        <v>173</v>
      </c>
      <c r="SL17" s="19">
        <f t="shared" si="1"/>
        <v>12</v>
      </c>
      <c r="SM17" s="9">
        <v>10017</v>
      </c>
      <c r="SN17" s="9" t="s">
        <v>504</v>
      </c>
      <c r="SO17" s="10">
        <v>2</v>
      </c>
      <c r="SP17" s="9">
        <v>2</v>
      </c>
      <c r="SQ17" s="13" t="s">
        <v>515</v>
      </c>
      <c r="SR17" s="9">
        <v>16</v>
      </c>
      <c r="SS17" s="28">
        <v>62</v>
      </c>
      <c r="ST17" s="28">
        <v>16</v>
      </c>
      <c r="SU17" s="28">
        <v>173</v>
      </c>
      <c r="SV17" s="28">
        <v>49</v>
      </c>
      <c r="SW17" s="28">
        <v>12</v>
      </c>
      <c r="SX17" s="28">
        <v>25</v>
      </c>
      <c r="SY17" s="29">
        <v>47</v>
      </c>
      <c r="SZ17" s="30">
        <v>78</v>
      </c>
      <c r="TA17" s="31">
        <v>23</v>
      </c>
      <c r="TB17" s="31">
        <v>55</v>
      </c>
    </row>
    <row r="18" spans="1:522" ht="15.75" customHeight="1" x14ac:dyDescent="0.2">
      <c r="A18" s="17">
        <v>10018</v>
      </c>
      <c r="B18" s="17" t="s">
        <v>501</v>
      </c>
      <c r="C18" s="17" t="s">
        <v>502</v>
      </c>
      <c r="D18" s="17" t="s">
        <v>503</v>
      </c>
      <c r="E18" s="17" t="s">
        <v>504</v>
      </c>
      <c r="F18" s="18">
        <v>37975</v>
      </c>
      <c r="G18" s="18">
        <v>38489</v>
      </c>
      <c r="H18" s="14">
        <f t="shared" si="2"/>
        <v>16</v>
      </c>
      <c r="I18" s="17" t="s">
        <v>505</v>
      </c>
      <c r="J18" s="17">
        <v>1</v>
      </c>
      <c r="K18" s="17">
        <v>1</v>
      </c>
      <c r="L18" s="17">
        <v>1</v>
      </c>
      <c r="M18" s="17">
        <v>1</v>
      </c>
      <c r="N18" s="17"/>
      <c r="O18" s="17">
        <v>1</v>
      </c>
      <c r="P18" s="17"/>
      <c r="Q18" s="17"/>
      <c r="R18" s="17">
        <v>1</v>
      </c>
      <c r="S18" s="17">
        <v>1</v>
      </c>
      <c r="T18" s="17">
        <v>1</v>
      </c>
      <c r="U18" s="17">
        <v>1</v>
      </c>
      <c r="V18" s="17"/>
      <c r="W18" s="17"/>
      <c r="X18" s="17"/>
      <c r="Y18" s="17">
        <v>1</v>
      </c>
      <c r="Z18" s="17">
        <v>1</v>
      </c>
      <c r="AA18" s="17"/>
      <c r="AB18" s="17">
        <v>1</v>
      </c>
      <c r="AC18" s="17">
        <v>1</v>
      </c>
      <c r="AD18" s="17"/>
      <c r="AE18" s="17"/>
      <c r="AF18" s="17">
        <v>1</v>
      </c>
      <c r="AG18" s="17"/>
      <c r="AH18" s="17"/>
      <c r="AI18" s="17">
        <v>1</v>
      </c>
      <c r="AJ18" s="17"/>
      <c r="AK18" s="17">
        <v>1</v>
      </c>
      <c r="AL18" s="17">
        <v>1</v>
      </c>
      <c r="AM18" s="17">
        <v>1</v>
      </c>
      <c r="AN18" s="17"/>
      <c r="AO18" s="17" t="s">
        <v>506</v>
      </c>
      <c r="AP18" s="17" t="s">
        <v>506</v>
      </c>
      <c r="AQ18" s="17">
        <v>2</v>
      </c>
      <c r="AR18" s="17">
        <v>2</v>
      </c>
      <c r="AS18" s="17">
        <v>1</v>
      </c>
      <c r="AT18" s="17"/>
      <c r="AU18" s="17">
        <v>2</v>
      </c>
      <c r="AV18" s="17">
        <v>2</v>
      </c>
      <c r="AW18" s="17"/>
      <c r="AX18" s="17">
        <v>1</v>
      </c>
      <c r="AY18" s="17">
        <v>2</v>
      </c>
      <c r="AZ18" s="17">
        <v>2</v>
      </c>
      <c r="BA18" s="17">
        <v>2</v>
      </c>
      <c r="BB18" s="17"/>
      <c r="BC18" s="17">
        <v>2</v>
      </c>
      <c r="BD18" s="17">
        <v>2</v>
      </c>
      <c r="BE18" s="17"/>
      <c r="BF18" s="17">
        <v>2</v>
      </c>
      <c r="BG18" s="17"/>
      <c r="BH18" s="17"/>
      <c r="BI18" s="17"/>
      <c r="BJ18" s="17">
        <v>1</v>
      </c>
      <c r="BK18" s="17">
        <v>1</v>
      </c>
      <c r="BL18" s="17">
        <v>1</v>
      </c>
      <c r="BM18" s="17"/>
      <c r="BN18" s="17">
        <v>1</v>
      </c>
      <c r="BO18" s="17"/>
      <c r="BP18" s="17">
        <v>2</v>
      </c>
      <c r="BQ18" s="17">
        <v>1</v>
      </c>
      <c r="BR18" s="17">
        <v>1</v>
      </c>
      <c r="BS18" s="17"/>
      <c r="BT18" s="17"/>
      <c r="BU18" s="17">
        <v>2</v>
      </c>
      <c r="BV18" s="17">
        <v>1</v>
      </c>
      <c r="BW18" s="17">
        <v>1</v>
      </c>
      <c r="BX18" s="17"/>
      <c r="BY18" s="17"/>
      <c r="BZ18" s="17"/>
      <c r="CA18" s="17">
        <v>1</v>
      </c>
      <c r="CB18" s="17">
        <v>2</v>
      </c>
      <c r="CC18" s="17"/>
      <c r="CD18" s="17">
        <v>1</v>
      </c>
      <c r="CE18" s="17">
        <v>1</v>
      </c>
      <c r="CF18" s="17">
        <v>1</v>
      </c>
      <c r="CG18" s="17">
        <v>1</v>
      </c>
      <c r="CH18" s="17">
        <v>1</v>
      </c>
      <c r="CI18" s="17">
        <v>2</v>
      </c>
      <c r="CJ18" s="17">
        <v>1</v>
      </c>
      <c r="CK18" s="17"/>
      <c r="CL18" s="17">
        <v>1</v>
      </c>
      <c r="CM18" s="17">
        <v>1</v>
      </c>
      <c r="CN18" s="17">
        <v>2</v>
      </c>
      <c r="CO18" s="17">
        <v>2</v>
      </c>
      <c r="CP18" s="17">
        <v>2</v>
      </c>
      <c r="CQ18" s="17">
        <v>1</v>
      </c>
      <c r="CR18" s="17"/>
      <c r="CS18" s="17">
        <v>1</v>
      </c>
      <c r="CT18" s="17">
        <v>1</v>
      </c>
      <c r="CU18" s="17">
        <v>2</v>
      </c>
      <c r="CV18" s="17">
        <v>2</v>
      </c>
      <c r="CW18" s="17">
        <v>2</v>
      </c>
      <c r="CX18" s="17"/>
      <c r="CY18" s="17">
        <v>2</v>
      </c>
      <c r="CZ18" s="17">
        <v>2</v>
      </c>
      <c r="DA18" s="17"/>
      <c r="DB18" s="17">
        <v>1</v>
      </c>
      <c r="DC18" s="17"/>
      <c r="DD18" s="17">
        <v>1</v>
      </c>
      <c r="DE18" s="17">
        <v>2</v>
      </c>
      <c r="DF18" s="17">
        <v>2</v>
      </c>
      <c r="DG18" s="17"/>
      <c r="DH18" s="17"/>
      <c r="DI18" s="17"/>
      <c r="DJ18" s="17">
        <v>1</v>
      </c>
      <c r="DK18" s="17"/>
      <c r="DL18" s="17">
        <v>2</v>
      </c>
      <c r="DM18" s="17"/>
      <c r="DN18" s="17"/>
      <c r="DO18" s="17">
        <v>2</v>
      </c>
      <c r="DP18" s="17"/>
      <c r="DQ18" s="17"/>
      <c r="DR18" s="17">
        <v>1</v>
      </c>
      <c r="DS18" s="17">
        <v>2</v>
      </c>
      <c r="DT18" s="17"/>
      <c r="DU18" s="17">
        <v>1</v>
      </c>
      <c r="DV18" s="17"/>
      <c r="DW18" s="17">
        <v>1</v>
      </c>
      <c r="DX18" s="17"/>
      <c r="DY18" s="17">
        <v>1</v>
      </c>
      <c r="DZ18" s="17">
        <v>1</v>
      </c>
      <c r="EA18" s="17">
        <v>1</v>
      </c>
      <c r="EB18" s="17"/>
      <c r="EC18" s="17">
        <v>1</v>
      </c>
      <c r="ED18" s="17"/>
      <c r="EE18" s="17">
        <v>1</v>
      </c>
      <c r="EF18" s="17"/>
      <c r="EG18" s="17">
        <v>1</v>
      </c>
      <c r="EH18" s="17"/>
      <c r="EI18" s="17"/>
      <c r="EJ18" s="17"/>
      <c r="EK18" s="17">
        <v>2</v>
      </c>
      <c r="EL18" s="17"/>
      <c r="EM18" s="17">
        <v>1</v>
      </c>
      <c r="EN18" s="17"/>
      <c r="EO18" s="17">
        <v>1</v>
      </c>
      <c r="EP18" s="17">
        <v>1</v>
      </c>
      <c r="EQ18" s="17"/>
      <c r="ER18" s="17"/>
      <c r="ES18" s="17">
        <v>1</v>
      </c>
      <c r="ET18" s="17">
        <v>1</v>
      </c>
      <c r="EU18" s="17"/>
      <c r="EV18" s="17">
        <v>2</v>
      </c>
      <c r="EW18" s="17"/>
      <c r="EX18" s="17">
        <v>1</v>
      </c>
      <c r="EY18" s="17"/>
      <c r="EZ18" s="17"/>
      <c r="FA18" s="17">
        <v>1</v>
      </c>
      <c r="FB18" s="17">
        <v>1</v>
      </c>
      <c r="FC18" s="17">
        <v>1</v>
      </c>
      <c r="FD18" s="17">
        <v>2</v>
      </c>
      <c r="FE18" s="17">
        <v>2</v>
      </c>
      <c r="FF18" s="17"/>
      <c r="FG18" s="17">
        <v>1</v>
      </c>
      <c r="FH18" s="17">
        <v>1</v>
      </c>
      <c r="FI18" s="17">
        <v>2</v>
      </c>
      <c r="FJ18" s="17">
        <v>1</v>
      </c>
      <c r="FK18" s="17">
        <v>1</v>
      </c>
      <c r="FL18" s="17">
        <v>2</v>
      </c>
      <c r="FM18" s="17">
        <v>1</v>
      </c>
      <c r="FN18" s="17">
        <v>2</v>
      </c>
      <c r="FO18" s="17">
        <v>2</v>
      </c>
      <c r="FP18" s="17"/>
      <c r="FQ18" s="17">
        <v>2</v>
      </c>
      <c r="FR18" s="17">
        <v>2</v>
      </c>
      <c r="FS18" s="17">
        <v>1</v>
      </c>
      <c r="FT18" s="17">
        <v>1</v>
      </c>
      <c r="FU18" s="17"/>
      <c r="FV18" s="17">
        <v>1</v>
      </c>
      <c r="FW18" s="17">
        <v>2</v>
      </c>
      <c r="FX18" s="17"/>
      <c r="FY18" s="17"/>
      <c r="FZ18" s="17"/>
      <c r="GA18" s="17"/>
      <c r="GB18" s="17"/>
      <c r="GC18" s="17">
        <v>1</v>
      </c>
      <c r="GD18" s="17"/>
      <c r="GE18" s="17">
        <v>1</v>
      </c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>
        <v>1</v>
      </c>
      <c r="GX18" s="17">
        <v>1</v>
      </c>
      <c r="GY18" s="17">
        <v>1</v>
      </c>
      <c r="GZ18" s="17"/>
      <c r="HA18" s="17"/>
      <c r="HB18" s="17"/>
      <c r="HC18" s="17"/>
      <c r="HD18" s="17"/>
      <c r="HE18" s="17">
        <v>2</v>
      </c>
      <c r="HF18" s="17">
        <v>1</v>
      </c>
      <c r="HG18" s="17">
        <v>1</v>
      </c>
      <c r="HH18" s="17">
        <v>1</v>
      </c>
      <c r="HI18" s="17">
        <v>1</v>
      </c>
      <c r="HJ18" s="17"/>
      <c r="HK18" s="17"/>
      <c r="HL18" s="17">
        <v>2</v>
      </c>
      <c r="HM18" s="17"/>
      <c r="HN18" s="17"/>
      <c r="HO18" s="17">
        <v>1</v>
      </c>
      <c r="HP18" s="17">
        <v>1</v>
      </c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>
        <v>2</v>
      </c>
      <c r="IC18" s="17"/>
      <c r="ID18" s="17"/>
      <c r="IE18" s="17"/>
      <c r="IF18" s="17"/>
      <c r="IG18" s="17"/>
      <c r="IH18" s="17">
        <v>1</v>
      </c>
      <c r="II18" s="17">
        <v>2</v>
      </c>
      <c r="IJ18" s="17">
        <v>2</v>
      </c>
      <c r="IK18" s="17">
        <v>1</v>
      </c>
      <c r="IL18" s="17"/>
      <c r="IM18" s="17"/>
      <c r="IN18" s="17"/>
      <c r="IO18" s="17"/>
      <c r="IP18" s="17"/>
      <c r="IQ18" s="17"/>
      <c r="IR18" s="17"/>
      <c r="IS18" s="17"/>
      <c r="IT18" s="17">
        <v>1</v>
      </c>
      <c r="IU18" s="17"/>
      <c r="IV18" s="17"/>
      <c r="IW18" s="17"/>
      <c r="IX18" s="17"/>
      <c r="IY18" s="17"/>
      <c r="IZ18" s="17">
        <v>2</v>
      </c>
      <c r="JA18" s="17">
        <v>1</v>
      </c>
      <c r="JB18" s="17"/>
      <c r="JC18" s="17"/>
      <c r="JD18" s="17"/>
      <c r="JE18" s="17">
        <v>1</v>
      </c>
      <c r="JF18" s="17"/>
      <c r="JG18" s="17">
        <v>1</v>
      </c>
      <c r="JH18" s="17">
        <v>1</v>
      </c>
      <c r="JI18" s="17"/>
      <c r="JJ18" s="17"/>
      <c r="JK18" s="17">
        <v>2</v>
      </c>
      <c r="JL18" s="17">
        <v>1</v>
      </c>
      <c r="JM18" s="17"/>
      <c r="JN18" s="17"/>
      <c r="JO18" s="17"/>
      <c r="JP18" s="17"/>
      <c r="JQ18" s="17">
        <v>2</v>
      </c>
      <c r="JR18" s="17">
        <v>1</v>
      </c>
      <c r="JS18" s="17"/>
      <c r="JT18" s="17"/>
      <c r="JU18" s="17"/>
      <c r="JV18" s="17"/>
      <c r="JW18" s="17"/>
      <c r="JX18" s="17">
        <v>2</v>
      </c>
      <c r="JY18" s="17">
        <v>1</v>
      </c>
      <c r="JZ18" s="17">
        <v>1</v>
      </c>
      <c r="KA18" s="17"/>
      <c r="KB18" s="17">
        <v>1</v>
      </c>
      <c r="KC18" s="17"/>
      <c r="KD18" s="17">
        <v>2</v>
      </c>
      <c r="KE18" s="17">
        <v>1</v>
      </c>
      <c r="KF18" s="17"/>
      <c r="KG18" s="17"/>
      <c r="KH18" s="17">
        <v>2</v>
      </c>
      <c r="KI18" s="17"/>
      <c r="KJ18" s="17">
        <v>2</v>
      </c>
      <c r="KK18" s="17"/>
      <c r="KL18" s="17">
        <v>1</v>
      </c>
      <c r="KM18" s="17">
        <v>1</v>
      </c>
      <c r="KN18" s="17"/>
      <c r="KO18" s="17"/>
      <c r="KP18" s="17">
        <v>2</v>
      </c>
      <c r="KQ18" s="17">
        <v>1</v>
      </c>
      <c r="KR18" s="17">
        <v>1</v>
      </c>
      <c r="KS18" s="17"/>
      <c r="KT18" s="17">
        <v>1</v>
      </c>
      <c r="KU18" s="17"/>
      <c r="KV18" s="17"/>
      <c r="KW18" s="17">
        <v>1</v>
      </c>
      <c r="KX18" s="17"/>
      <c r="KY18" s="17"/>
      <c r="KZ18" s="17"/>
      <c r="LA18" s="17"/>
      <c r="LB18" s="17"/>
      <c r="LC18" s="17"/>
      <c r="LD18" s="17"/>
      <c r="LE18" s="17"/>
      <c r="LF18" s="17"/>
      <c r="LG18" s="17">
        <v>1</v>
      </c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>
        <v>2</v>
      </c>
      <c r="NC18" s="17">
        <v>1</v>
      </c>
      <c r="ND18" s="17"/>
      <c r="NE18" s="17"/>
      <c r="NF18" s="17"/>
      <c r="NG18" s="17"/>
      <c r="NH18" s="17">
        <v>1</v>
      </c>
      <c r="NI18" s="17"/>
      <c r="NJ18" s="17"/>
      <c r="NK18" s="17"/>
      <c r="NL18" s="17"/>
      <c r="NM18" s="17"/>
      <c r="NN18" s="17"/>
      <c r="NO18" s="17">
        <v>1</v>
      </c>
      <c r="NP18" s="17">
        <v>1</v>
      </c>
      <c r="NQ18" s="17"/>
      <c r="NR18" s="17"/>
      <c r="NS18" s="17"/>
      <c r="NT18" s="17"/>
      <c r="NU18" s="17"/>
      <c r="NV18" s="17">
        <v>2</v>
      </c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>
        <v>1</v>
      </c>
      <c r="OJ18" s="17">
        <v>1</v>
      </c>
      <c r="OK18" s="17">
        <v>1</v>
      </c>
      <c r="OL18" s="17"/>
      <c r="OM18" s="17"/>
      <c r="ON18" s="17"/>
      <c r="OO18" s="17"/>
      <c r="OP18" s="17"/>
      <c r="OQ18" s="17"/>
      <c r="OR18" s="17"/>
      <c r="OS18" s="17"/>
      <c r="OT18" s="17"/>
      <c r="OU18" s="17">
        <v>1</v>
      </c>
      <c r="OV18" s="17"/>
      <c r="OW18" s="17"/>
      <c r="OX18" s="17"/>
      <c r="OY18" s="17"/>
      <c r="OZ18" s="17"/>
      <c r="PA18" s="17">
        <v>1</v>
      </c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>
        <v>1</v>
      </c>
      <c r="PM18" s="17">
        <v>1</v>
      </c>
      <c r="PN18" s="17">
        <v>1</v>
      </c>
      <c r="PO18" s="17">
        <v>1</v>
      </c>
      <c r="PP18" s="17"/>
      <c r="PQ18" s="17">
        <v>2</v>
      </c>
      <c r="PR18" s="17"/>
      <c r="PS18" s="17"/>
      <c r="PT18" s="17"/>
      <c r="PU18" s="17"/>
      <c r="PV18" s="17"/>
      <c r="PW18" s="17" t="s">
        <v>506</v>
      </c>
      <c r="PX18" s="17" t="s">
        <v>506</v>
      </c>
      <c r="PY18" s="17" t="s">
        <v>506</v>
      </c>
      <c r="PZ18" s="17" t="s">
        <v>508</v>
      </c>
      <c r="QA18" s="17" t="s">
        <v>506</v>
      </c>
      <c r="QB18" s="17" t="s">
        <v>508</v>
      </c>
      <c r="QC18" s="17" t="s">
        <v>508</v>
      </c>
      <c r="QD18" s="17" t="s">
        <v>508</v>
      </c>
      <c r="QE18" s="17" t="s">
        <v>508</v>
      </c>
      <c r="QF18" s="17" t="s">
        <v>507</v>
      </c>
      <c r="QG18" s="17" t="s">
        <v>507</v>
      </c>
      <c r="QH18" s="17" t="s">
        <v>508</v>
      </c>
      <c r="QI18" s="17">
        <v>1</v>
      </c>
      <c r="QJ18" s="17">
        <v>0</v>
      </c>
      <c r="QK18" s="17">
        <v>0</v>
      </c>
      <c r="QL18" s="17">
        <v>1</v>
      </c>
      <c r="QM18" s="17">
        <v>1</v>
      </c>
      <c r="QN18" s="17">
        <v>1</v>
      </c>
      <c r="QO18" s="17">
        <v>1</v>
      </c>
      <c r="QP18" s="17">
        <v>1</v>
      </c>
      <c r="QQ18" s="17">
        <v>1</v>
      </c>
      <c r="QR18" s="17">
        <v>1</v>
      </c>
      <c r="QS18" s="17">
        <v>0</v>
      </c>
      <c r="QT18" s="17">
        <v>1</v>
      </c>
      <c r="QU18" s="17">
        <v>1</v>
      </c>
      <c r="QV18" s="17">
        <v>1</v>
      </c>
      <c r="QW18" s="17">
        <v>0</v>
      </c>
      <c r="QX18" s="17">
        <v>1</v>
      </c>
      <c r="QY18" s="17">
        <v>0</v>
      </c>
      <c r="QZ18" s="17">
        <v>1</v>
      </c>
      <c r="RA18" s="17">
        <v>1</v>
      </c>
      <c r="RB18" s="17">
        <v>1</v>
      </c>
      <c r="RC18" s="17">
        <v>1</v>
      </c>
      <c r="RD18" s="17">
        <v>0</v>
      </c>
      <c r="RE18" s="17">
        <v>0</v>
      </c>
      <c r="RF18" s="17">
        <v>0</v>
      </c>
      <c r="RG18" s="17">
        <v>0</v>
      </c>
      <c r="RH18" s="17">
        <v>0</v>
      </c>
      <c r="RI18" s="17">
        <v>0</v>
      </c>
      <c r="RJ18" s="17">
        <v>0</v>
      </c>
      <c r="RK18" s="17">
        <v>0</v>
      </c>
      <c r="RL18" s="17">
        <v>0</v>
      </c>
      <c r="RM18" s="17">
        <v>0</v>
      </c>
      <c r="RN18" s="17">
        <v>0</v>
      </c>
      <c r="RO18" s="17">
        <v>0</v>
      </c>
      <c r="RP18" s="17">
        <v>0</v>
      </c>
      <c r="RQ18" s="17">
        <v>0</v>
      </c>
      <c r="RR18" s="17">
        <v>0</v>
      </c>
      <c r="RS18" s="17">
        <v>0</v>
      </c>
      <c r="RT18" s="17">
        <v>0</v>
      </c>
      <c r="RU18" s="17">
        <v>0</v>
      </c>
      <c r="RV18" s="17">
        <v>0</v>
      </c>
      <c r="RW18" s="17">
        <v>1</v>
      </c>
      <c r="RX18" s="17">
        <v>1</v>
      </c>
      <c r="RY18" s="17">
        <v>0</v>
      </c>
      <c r="RZ18" s="17">
        <v>0</v>
      </c>
      <c r="SA18" s="17">
        <v>1</v>
      </c>
      <c r="SB18" s="17">
        <v>0</v>
      </c>
      <c r="SC18" s="17">
        <v>1</v>
      </c>
      <c r="SD18" s="17">
        <v>0</v>
      </c>
      <c r="SE18" s="17">
        <v>1</v>
      </c>
      <c r="SF18" s="17">
        <v>0</v>
      </c>
      <c r="SG18" s="17">
        <v>1</v>
      </c>
      <c r="SH18" s="17">
        <v>0</v>
      </c>
      <c r="SI18" s="17">
        <v>10018</v>
      </c>
      <c r="SJ18" s="19">
        <f t="shared" si="3"/>
        <v>95</v>
      </c>
      <c r="SK18" s="19">
        <f t="shared" si="0"/>
        <v>149</v>
      </c>
      <c r="SL18" s="19">
        <f t="shared" si="1"/>
        <v>54</v>
      </c>
      <c r="SM18" s="9">
        <v>10018</v>
      </c>
      <c r="SN18" s="9" t="s">
        <v>504</v>
      </c>
      <c r="SO18" s="10">
        <v>1</v>
      </c>
      <c r="SP18" s="9">
        <v>1</v>
      </c>
      <c r="SQ18" s="11" t="s">
        <v>517</v>
      </c>
      <c r="SR18" s="9">
        <v>18</v>
      </c>
      <c r="SS18" s="28" t="s">
        <v>563</v>
      </c>
      <c r="ST18" s="28">
        <v>16</v>
      </c>
      <c r="SU18" s="28">
        <v>149</v>
      </c>
      <c r="SV18" s="28">
        <v>37</v>
      </c>
      <c r="SW18" s="28">
        <v>54</v>
      </c>
      <c r="SX18" s="28">
        <v>73</v>
      </c>
      <c r="SY18" s="29">
        <v>28</v>
      </c>
      <c r="SZ18" s="30">
        <v>12</v>
      </c>
      <c r="TA18" s="31">
        <v>15</v>
      </c>
      <c r="TB18" s="31">
        <v>23</v>
      </c>
    </row>
    <row r="19" spans="1:522" ht="15.75" customHeight="1" x14ac:dyDescent="0.2">
      <c r="A19" s="17">
        <v>10019</v>
      </c>
      <c r="B19" s="17" t="s">
        <v>501</v>
      </c>
      <c r="C19" s="17" t="s">
        <v>502</v>
      </c>
      <c r="D19" s="17" t="s">
        <v>503</v>
      </c>
      <c r="E19" s="17" t="s">
        <v>509</v>
      </c>
      <c r="F19" s="18">
        <v>37989</v>
      </c>
      <c r="G19" s="18">
        <v>38477</v>
      </c>
      <c r="H19" s="14">
        <f t="shared" si="2"/>
        <v>16</v>
      </c>
      <c r="I19" s="17" t="s">
        <v>505</v>
      </c>
      <c r="J19" s="17">
        <v>1</v>
      </c>
      <c r="K19" s="17">
        <v>1</v>
      </c>
      <c r="L19" s="17">
        <v>1</v>
      </c>
      <c r="M19" s="17"/>
      <c r="N19" s="17"/>
      <c r="O19" s="17"/>
      <c r="P19" s="17"/>
      <c r="Q19" s="17"/>
      <c r="R19" s="17"/>
      <c r="S19" s="17">
        <v>1</v>
      </c>
      <c r="T19" s="17">
        <v>1</v>
      </c>
      <c r="U19" s="17"/>
      <c r="V19" s="17"/>
      <c r="W19" s="17"/>
      <c r="X19" s="17"/>
      <c r="Y19" s="17">
        <v>1</v>
      </c>
      <c r="Z19" s="17"/>
      <c r="AA19" s="17">
        <v>1</v>
      </c>
      <c r="AB19" s="17">
        <v>1</v>
      </c>
      <c r="AC19" s="17">
        <v>1</v>
      </c>
      <c r="AD19" s="17"/>
      <c r="AE19" s="17"/>
      <c r="AF19" s="17">
        <v>1</v>
      </c>
      <c r="AG19" s="17"/>
      <c r="AH19" s="17"/>
      <c r="AI19" s="17"/>
      <c r="AJ19" s="17"/>
      <c r="AK19" s="17">
        <v>1</v>
      </c>
      <c r="AL19" s="17"/>
      <c r="AM19" s="17"/>
      <c r="AN19" s="17"/>
      <c r="AO19" s="17" t="s">
        <v>506</v>
      </c>
      <c r="AP19" s="17" t="s">
        <v>506</v>
      </c>
      <c r="AQ19" s="17"/>
      <c r="AR19" s="17"/>
      <c r="AS19" s="17"/>
      <c r="AT19" s="17">
        <v>1</v>
      </c>
      <c r="AU19" s="17">
        <v>2</v>
      </c>
      <c r="AV19" s="17"/>
      <c r="AW19" s="17"/>
      <c r="AX19" s="17"/>
      <c r="AY19" s="17">
        <v>2</v>
      </c>
      <c r="AZ19" s="17"/>
      <c r="BA19" s="17"/>
      <c r="BB19" s="17"/>
      <c r="BC19" s="17"/>
      <c r="BD19" s="17"/>
      <c r="BE19" s="17"/>
      <c r="BF19" s="17"/>
      <c r="BG19" s="17">
        <v>2</v>
      </c>
      <c r="BH19" s="17">
        <v>1</v>
      </c>
      <c r="BI19" s="17">
        <v>1</v>
      </c>
      <c r="BJ19" s="17">
        <v>2</v>
      </c>
      <c r="BK19" s="17"/>
      <c r="BL19" s="17"/>
      <c r="BM19" s="17"/>
      <c r="BN19" s="17">
        <v>2</v>
      </c>
      <c r="BO19" s="17"/>
      <c r="BP19" s="17">
        <v>2</v>
      </c>
      <c r="BQ19" s="17"/>
      <c r="BR19" s="17">
        <v>2</v>
      </c>
      <c r="BS19" s="17">
        <v>2</v>
      </c>
      <c r="BT19" s="17"/>
      <c r="BU19" s="17"/>
      <c r="BV19" s="17">
        <v>2</v>
      </c>
      <c r="BW19" s="17"/>
      <c r="BX19" s="17"/>
      <c r="BY19" s="17"/>
      <c r="BZ19" s="17"/>
      <c r="CA19" s="17"/>
      <c r="CB19" s="17"/>
      <c r="CC19" s="17"/>
      <c r="CD19" s="17">
        <v>1</v>
      </c>
      <c r="CE19" s="17"/>
      <c r="CF19" s="17"/>
      <c r="CG19" s="17"/>
      <c r="CH19" s="17"/>
      <c r="CI19" s="17"/>
      <c r="CJ19" s="17"/>
      <c r="CK19" s="17"/>
      <c r="CL19" s="17"/>
      <c r="CM19" s="17">
        <v>1</v>
      </c>
      <c r="CN19" s="17"/>
      <c r="CO19" s="17"/>
      <c r="CP19" s="17">
        <v>1</v>
      </c>
      <c r="CQ19" s="17"/>
      <c r="CR19" s="17"/>
      <c r="CS19" s="17"/>
      <c r="CT19" s="17"/>
      <c r="CU19" s="17"/>
      <c r="CV19" s="17">
        <v>2</v>
      </c>
      <c r="CW19" s="17">
        <v>2</v>
      </c>
      <c r="CX19" s="17"/>
      <c r="CY19" s="17">
        <v>2</v>
      </c>
      <c r="CZ19" s="17">
        <v>2</v>
      </c>
      <c r="DA19" s="17">
        <v>2</v>
      </c>
      <c r="DB19" s="17"/>
      <c r="DC19" s="17"/>
      <c r="DD19" s="17"/>
      <c r="DE19" s="17"/>
      <c r="DF19" s="17"/>
      <c r="DG19" s="17"/>
      <c r="DH19" s="17"/>
      <c r="DI19" s="17"/>
      <c r="DJ19" s="17"/>
      <c r="DK19" s="17">
        <v>2</v>
      </c>
      <c r="DL19" s="17"/>
      <c r="DM19" s="17">
        <v>2</v>
      </c>
      <c r="DN19" s="17"/>
      <c r="DO19" s="17"/>
      <c r="DP19" s="17"/>
      <c r="DQ19" s="17">
        <v>1</v>
      </c>
      <c r="DR19" s="17"/>
      <c r="DS19" s="17"/>
      <c r="DT19" s="17"/>
      <c r="DU19" s="17"/>
      <c r="DV19" s="17"/>
      <c r="DW19" s="17"/>
      <c r="DX19" s="17"/>
      <c r="DY19" s="17">
        <v>1</v>
      </c>
      <c r="DZ19" s="17"/>
      <c r="EA19" s="17"/>
      <c r="EB19" s="17">
        <v>2</v>
      </c>
      <c r="EC19" s="17"/>
      <c r="ED19" s="17"/>
      <c r="EE19" s="17"/>
      <c r="EF19" s="17">
        <v>2</v>
      </c>
      <c r="EG19" s="17">
        <v>2</v>
      </c>
      <c r="EH19" s="17">
        <v>2</v>
      </c>
      <c r="EI19" s="17">
        <v>2</v>
      </c>
      <c r="EJ19" s="17"/>
      <c r="EK19" s="17"/>
      <c r="EL19" s="17"/>
      <c r="EM19" s="17">
        <v>2</v>
      </c>
      <c r="EN19" s="17"/>
      <c r="EO19" s="17">
        <v>2</v>
      </c>
      <c r="EP19" s="17"/>
      <c r="EQ19" s="17"/>
      <c r="ER19" s="17"/>
      <c r="ES19" s="17"/>
      <c r="ET19" s="17"/>
      <c r="EU19" s="17"/>
      <c r="EV19" s="17">
        <v>2</v>
      </c>
      <c r="EW19" s="17"/>
      <c r="EX19" s="17">
        <v>2</v>
      </c>
      <c r="EY19" s="17"/>
      <c r="EZ19" s="17"/>
      <c r="FA19" s="17"/>
      <c r="FB19" s="17"/>
      <c r="FC19" s="17"/>
      <c r="FD19" s="17"/>
      <c r="FE19" s="17">
        <v>2</v>
      </c>
      <c r="FF19" s="17"/>
      <c r="FG19" s="17"/>
      <c r="FH19" s="17"/>
      <c r="FI19" s="17"/>
      <c r="FJ19" s="17"/>
      <c r="FK19" s="17">
        <v>2</v>
      </c>
      <c r="FL19" s="17"/>
      <c r="FM19" s="17"/>
      <c r="FN19" s="17">
        <v>1</v>
      </c>
      <c r="FO19" s="17">
        <v>1</v>
      </c>
      <c r="FP19" s="17"/>
      <c r="FQ19" s="17"/>
      <c r="FR19" s="17"/>
      <c r="FS19" s="17"/>
      <c r="FT19" s="17">
        <v>1</v>
      </c>
      <c r="FU19" s="17">
        <v>2</v>
      </c>
      <c r="FV19" s="17">
        <v>2</v>
      </c>
      <c r="FW19" s="17"/>
      <c r="FX19" s="17"/>
      <c r="FY19" s="17"/>
      <c r="FZ19" s="17">
        <v>1</v>
      </c>
      <c r="GA19" s="17"/>
      <c r="GB19" s="17"/>
      <c r="GC19" s="17"/>
      <c r="GD19" s="17"/>
      <c r="GE19" s="17"/>
      <c r="GF19" s="17"/>
      <c r="GG19" s="17">
        <v>1</v>
      </c>
      <c r="GH19" s="17"/>
      <c r="GI19" s="17">
        <v>1</v>
      </c>
      <c r="GJ19" s="17"/>
      <c r="GK19" s="17"/>
      <c r="GL19" s="17"/>
      <c r="GM19" s="17"/>
      <c r="GN19" s="17"/>
      <c r="GO19" s="17"/>
      <c r="GP19" s="17"/>
      <c r="GQ19" s="17"/>
      <c r="GR19" s="17">
        <v>1</v>
      </c>
      <c r="GS19" s="17"/>
      <c r="GT19" s="17"/>
      <c r="GU19" s="17"/>
      <c r="GV19" s="17"/>
      <c r="GW19" s="17"/>
      <c r="GX19" s="17"/>
      <c r="GY19" s="17">
        <v>1</v>
      </c>
      <c r="GZ19" s="17">
        <v>2</v>
      </c>
      <c r="HA19" s="17"/>
      <c r="HB19" s="17"/>
      <c r="HC19" s="17"/>
      <c r="HD19" s="17"/>
      <c r="HE19" s="17"/>
      <c r="HF19" s="17"/>
      <c r="HG19" s="17"/>
      <c r="HH19" s="17"/>
      <c r="HI19" s="17">
        <v>1</v>
      </c>
      <c r="HJ19" s="17"/>
      <c r="HK19" s="17">
        <v>1</v>
      </c>
      <c r="HL19" s="17">
        <v>1</v>
      </c>
      <c r="HM19" s="17"/>
      <c r="HN19" s="17"/>
      <c r="HO19" s="17">
        <v>1</v>
      </c>
      <c r="HP19" s="17"/>
      <c r="HQ19" s="17"/>
      <c r="HR19" s="17"/>
      <c r="HS19" s="17"/>
      <c r="HT19" s="17">
        <v>1</v>
      </c>
      <c r="HU19" s="17">
        <v>1</v>
      </c>
      <c r="HV19" s="17"/>
      <c r="HW19" s="17"/>
      <c r="HX19" s="17"/>
      <c r="HY19" s="17"/>
      <c r="HZ19" s="17"/>
      <c r="IA19" s="17"/>
      <c r="IB19" s="17">
        <v>1</v>
      </c>
      <c r="IC19" s="17"/>
      <c r="ID19" s="17"/>
      <c r="IE19" s="17"/>
      <c r="IF19" s="17">
        <v>2</v>
      </c>
      <c r="IG19" s="17"/>
      <c r="IH19" s="17"/>
      <c r="II19" s="17"/>
      <c r="IJ19" s="17">
        <v>2</v>
      </c>
      <c r="IK19" s="17">
        <v>1</v>
      </c>
      <c r="IL19" s="17">
        <v>1</v>
      </c>
      <c r="IM19" s="17"/>
      <c r="IN19" s="17"/>
      <c r="IO19" s="17"/>
      <c r="IP19" s="17"/>
      <c r="IQ19" s="17"/>
      <c r="IR19" s="17"/>
      <c r="IS19" s="17"/>
      <c r="IT19" s="17">
        <v>1</v>
      </c>
      <c r="IU19" s="17"/>
      <c r="IV19" s="17"/>
      <c r="IW19" s="17"/>
      <c r="IX19" s="17"/>
      <c r="IY19" s="17"/>
      <c r="IZ19" s="17">
        <v>1</v>
      </c>
      <c r="JA19" s="17"/>
      <c r="JB19" s="17"/>
      <c r="JC19" s="17"/>
      <c r="JD19" s="17"/>
      <c r="JE19" s="17">
        <v>2</v>
      </c>
      <c r="JF19" s="17"/>
      <c r="JG19" s="17"/>
      <c r="JH19" s="17"/>
      <c r="JI19" s="17"/>
      <c r="JJ19" s="17"/>
      <c r="JK19" s="17">
        <v>2</v>
      </c>
      <c r="JL19" s="17"/>
      <c r="JM19" s="17">
        <v>1</v>
      </c>
      <c r="JN19" s="17">
        <v>1</v>
      </c>
      <c r="JO19" s="17"/>
      <c r="JP19" s="17"/>
      <c r="JQ19" s="17">
        <v>2</v>
      </c>
      <c r="JR19" s="17">
        <v>2</v>
      </c>
      <c r="JS19" s="17"/>
      <c r="JT19" s="17"/>
      <c r="JU19" s="17"/>
      <c r="JV19" s="17"/>
      <c r="JW19" s="17"/>
      <c r="JX19" s="17">
        <v>2</v>
      </c>
      <c r="JY19" s="17"/>
      <c r="JZ19" s="17">
        <v>2</v>
      </c>
      <c r="KA19" s="17"/>
      <c r="KB19" s="17"/>
      <c r="KC19" s="17"/>
      <c r="KD19" s="17">
        <v>2</v>
      </c>
      <c r="KE19" s="17"/>
      <c r="KF19" s="17"/>
      <c r="KG19" s="17">
        <v>2</v>
      </c>
      <c r="KH19" s="17">
        <v>2</v>
      </c>
      <c r="KI19" s="17"/>
      <c r="KJ19" s="17"/>
      <c r="KK19" s="17">
        <v>2</v>
      </c>
      <c r="KL19" s="17">
        <v>2</v>
      </c>
      <c r="KM19" s="17">
        <v>2</v>
      </c>
      <c r="KN19" s="17"/>
      <c r="KO19" s="17"/>
      <c r="KP19" s="17">
        <v>2</v>
      </c>
      <c r="KQ19" s="17"/>
      <c r="KR19" s="17">
        <v>2</v>
      </c>
      <c r="KS19" s="17"/>
      <c r="KT19" s="17"/>
      <c r="KU19" s="17"/>
      <c r="KV19" s="17"/>
      <c r="KW19" s="17"/>
      <c r="KX19" s="17"/>
      <c r="KY19" s="17"/>
      <c r="KZ19" s="17"/>
      <c r="LA19" s="17">
        <v>1</v>
      </c>
      <c r="LB19" s="17"/>
      <c r="LC19" s="17">
        <v>2</v>
      </c>
      <c r="LD19" s="17"/>
      <c r="LE19" s="17"/>
      <c r="LF19" s="17">
        <v>2</v>
      </c>
      <c r="LG19" s="17"/>
      <c r="LH19" s="17"/>
      <c r="LI19" s="17"/>
      <c r="LJ19" s="17"/>
      <c r="LK19" s="17"/>
      <c r="LL19" s="17"/>
      <c r="LM19" s="17"/>
      <c r="LN19" s="17"/>
      <c r="LO19" s="17"/>
      <c r="LP19" s="17">
        <v>2</v>
      </c>
      <c r="LQ19" s="17"/>
      <c r="LR19" s="17">
        <v>1</v>
      </c>
      <c r="LS19" s="17"/>
      <c r="LT19" s="17">
        <v>1</v>
      </c>
      <c r="LU19" s="17"/>
      <c r="LV19" s="17"/>
      <c r="LW19" s="17"/>
      <c r="LX19" s="17">
        <v>1</v>
      </c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>
        <v>1</v>
      </c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>
        <v>2</v>
      </c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>
        <v>1</v>
      </c>
      <c r="NN19" s="17"/>
      <c r="NO19" s="17"/>
      <c r="NP19" s="17"/>
      <c r="NQ19" s="17"/>
      <c r="NR19" s="17">
        <v>2</v>
      </c>
      <c r="NS19" s="17"/>
      <c r="NT19" s="17">
        <v>2</v>
      </c>
      <c r="NU19" s="17"/>
      <c r="NV19" s="17">
        <v>2</v>
      </c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>
        <v>1</v>
      </c>
      <c r="OH19" s="17"/>
      <c r="OI19" s="17">
        <v>1</v>
      </c>
      <c r="OJ19" s="17">
        <v>1</v>
      </c>
      <c r="OK19" s="17"/>
      <c r="OL19" s="17">
        <v>2</v>
      </c>
      <c r="OM19" s="17"/>
      <c r="ON19" s="17"/>
      <c r="OO19" s="17"/>
      <c r="OP19" s="17"/>
      <c r="OQ19" s="17"/>
      <c r="OR19" s="17">
        <v>2</v>
      </c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>
        <v>2</v>
      </c>
      <c r="PR19" s="17"/>
      <c r="PS19" s="17"/>
      <c r="PT19" s="17"/>
      <c r="PU19" s="17"/>
      <c r="PV19" s="17"/>
      <c r="PW19" s="17" t="s">
        <v>506</v>
      </c>
      <c r="PX19" s="17" t="s">
        <v>506</v>
      </c>
      <c r="PY19" s="17" t="s">
        <v>506</v>
      </c>
      <c r="PZ19" s="17" t="s">
        <v>506</v>
      </c>
      <c r="QA19" s="17" t="s">
        <v>506</v>
      </c>
      <c r="QB19" s="17" t="s">
        <v>506</v>
      </c>
      <c r="QC19" s="17" t="s">
        <v>506</v>
      </c>
      <c r="QD19" s="17" t="s">
        <v>506</v>
      </c>
      <c r="QE19" s="17" t="s">
        <v>506</v>
      </c>
      <c r="QF19" s="17" t="s">
        <v>506</v>
      </c>
      <c r="QG19" s="17" t="s">
        <v>508</v>
      </c>
      <c r="QH19" s="17" t="s">
        <v>508</v>
      </c>
      <c r="QI19" s="17">
        <v>1</v>
      </c>
      <c r="QJ19" s="17">
        <v>0</v>
      </c>
      <c r="QK19" s="17">
        <v>1</v>
      </c>
      <c r="QL19" s="17">
        <v>1</v>
      </c>
      <c r="QM19" s="17">
        <v>1</v>
      </c>
      <c r="QN19" s="17">
        <v>1</v>
      </c>
      <c r="QO19" s="17">
        <v>1</v>
      </c>
      <c r="QP19" s="17">
        <v>1</v>
      </c>
      <c r="QQ19" s="17">
        <v>1</v>
      </c>
      <c r="QR19" s="17">
        <v>1</v>
      </c>
      <c r="QS19" s="17">
        <v>0</v>
      </c>
      <c r="QT19" s="17">
        <v>1</v>
      </c>
      <c r="QU19" s="17">
        <v>1</v>
      </c>
      <c r="QV19" s="17">
        <v>1</v>
      </c>
      <c r="QW19" s="17">
        <v>1</v>
      </c>
      <c r="QX19" s="17">
        <v>1</v>
      </c>
      <c r="QY19" s="17">
        <v>0</v>
      </c>
      <c r="QZ19" s="17">
        <v>1</v>
      </c>
      <c r="RA19" s="17">
        <v>1</v>
      </c>
      <c r="RB19" s="17">
        <v>1</v>
      </c>
      <c r="RC19" s="17">
        <v>1</v>
      </c>
      <c r="RD19" s="17">
        <v>0</v>
      </c>
      <c r="RE19" s="17">
        <v>0</v>
      </c>
      <c r="RF19" s="17">
        <v>1</v>
      </c>
      <c r="RG19" s="17">
        <v>0</v>
      </c>
      <c r="RH19" s="17">
        <v>1</v>
      </c>
      <c r="RI19" s="17">
        <v>1</v>
      </c>
      <c r="RJ19" s="17">
        <v>1</v>
      </c>
      <c r="RK19" s="17">
        <v>1</v>
      </c>
      <c r="RL19" s="17">
        <v>1</v>
      </c>
      <c r="RM19" s="17">
        <v>1</v>
      </c>
      <c r="RN19" s="17">
        <v>1</v>
      </c>
      <c r="RO19" s="17">
        <v>0</v>
      </c>
      <c r="RP19" s="17">
        <v>0</v>
      </c>
      <c r="RQ19" s="17">
        <v>1</v>
      </c>
      <c r="RR19" s="17">
        <v>0</v>
      </c>
      <c r="RS19" s="17">
        <v>0</v>
      </c>
      <c r="RT19" s="17">
        <v>0</v>
      </c>
      <c r="RU19" s="17">
        <v>1</v>
      </c>
      <c r="RV19" s="17">
        <v>0</v>
      </c>
      <c r="RW19" s="17">
        <v>1</v>
      </c>
      <c r="RX19" s="17">
        <v>1</v>
      </c>
      <c r="RY19" s="17">
        <v>0</v>
      </c>
      <c r="RZ19" s="17">
        <v>0</v>
      </c>
      <c r="SA19" s="17">
        <v>1</v>
      </c>
      <c r="SB19" s="17">
        <v>1</v>
      </c>
      <c r="SC19" s="17">
        <v>0</v>
      </c>
      <c r="SD19" s="17">
        <v>0</v>
      </c>
      <c r="SE19" s="17">
        <v>0</v>
      </c>
      <c r="SF19" s="17">
        <v>1</v>
      </c>
      <c r="SG19" s="17">
        <v>1</v>
      </c>
      <c r="SH19" s="17">
        <v>0</v>
      </c>
      <c r="SI19" s="17">
        <v>10019</v>
      </c>
      <c r="SJ19" s="19">
        <f t="shared" si="3"/>
        <v>38</v>
      </c>
      <c r="SK19" s="19">
        <f t="shared" si="0"/>
        <v>94</v>
      </c>
      <c r="SL19" s="19">
        <f t="shared" si="1"/>
        <v>56</v>
      </c>
      <c r="SM19" s="9">
        <v>10019</v>
      </c>
      <c r="SN19" s="9" t="s">
        <v>509</v>
      </c>
      <c r="SO19" s="10">
        <v>1</v>
      </c>
      <c r="SP19" s="9">
        <v>2</v>
      </c>
      <c r="SQ19" s="11" t="s">
        <v>517</v>
      </c>
      <c r="SR19" s="9">
        <v>18</v>
      </c>
      <c r="SS19" s="28">
        <v>63.5</v>
      </c>
      <c r="ST19" s="28">
        <v>16</v>
      </c>
      <c r="SU19" s="28">
        <v>94</v>
      </c>
      <c r="SV19" s="28">
        <v>14</v>
      </c>
      <c r="SW19" s="28">
        <v>56</v>
      </c>
      <c r="SX19" s="28">
        <v>59</v>
      </c>
      <c r="SY19" s="29">
        <v>44</v>
      </c>
      <c r="SZ19" s="30">
        <v>50</v>
      </c>
      <c r="TA19" s="31">
        <v>8</v>
      </c>
      <c r="TB19" s="31">
        <v>7</v>
      </c>
    </row>
    <row r="20" spans="1:522" ht="15.75" customHeight="1" x14ac:dyDescent="0.2">
      <c r="A20" s="17">
        <v>10020</v>
      </c>
      <c r="B20" s="17" t="s">
        <v>501</v>
      </c>
      <c r="C20" s="17" t="s">
        <v>502</v>
      </c>
      <c r="D20" s="17" t="s">
        <v>503</v>
      </c>
      <c r="E20" s="17" t="s">
        <v>504</v>
      </c>
      <c r="F20" s="18">
        <v>37987</v>
      </c>
      <c r="G20" s="18">
        <v>38526</v>
      </c>
      <c r="H20" s="14">
        <f t="shared" si="2"/>
        <v>17</v>
      </c>
      <c r="I20" s="17" t="s">
        <v>505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17">
        <v>1</v>
      </c>
      <c r="AJ20" s="17">
        <v>1</v>
      </c>
      <c r="AK20" s="17">
        <v>1</v>
      </c>
      <c r="AL20" s="17">
        <v>1</v>
      </c>
      <c r="AM20" s="17">
        <v>1</v>
      </c>
      <c r="AN20" s="17">
        <v>1</v>
      </c>
      <c r="AO20" s="17" t="s">
        <v>507</v>
      </c>
      <c r="AP20" s="17" t="s">
        <v>507</v>
      </c>
      <c r="AQ20" s="17">
        <v>1</v>
      </c>
      <c r="AR20" s="17">
        <v>1</v>
      </c>
      <c r="AS20" s="17">
        <v>1</v>
      </c>
      <c r="AT20" s="17">
        <v>1</v>
      </c>
      <c r="AU20" s="17">
        <v>2</v>
      </c>
      <c r="AV20" s="17">
        <v>1</v>
      </c>
      <c r="AW20" s="17">
        <v>1</v>
      </c>
      <c r="AX20" s="17">
        <v>1</v>
      </c>
      <c r="AY20" s="17">
        <v>2</v>
      </c>
      <c r="AZ20" s="17">
        <v>2</v>
      </c>
      <c r="BA20" s="17">
        <v>2</v>
      </c>
      <c r="BB20" s="17">
        <v>1</v>
      </c>
      <c r="BC20" s="17"/>
      <c r="BD20" s="17">
        <v>1</v>
      </c>
      <c r="BE20" s="17">
        <v>1</v>
      </c>
      <c r="BF20" s="17">
        <v>1</v>
      </c>
      <c r="BG20" s="17"/>
      <c r="BH20" s="17">
        <v>1</v>
      </c>
      <c r="BI20" s="17">
        <v>1</v>
      </c>
      <c r="BJ20" s="17">
        <v>2</v>
      </c>
      <c r="BK20" s="17">
        <v>1</v>
      </c>
      <c r="BL20" s="17">
        <v>1</v>
      </c>
      <c r="BM20" s="17"/>
      <c r="BN20" s="17">
        <v>2</v>
      </c>
      <c r="BO20" s="17"/>
      <c r="BP20" s="17">
        <v>1</v>
      </c>
      <c r="BQ20" s="17">
        <v>1</v>
      </c>
      <c r="BR20" s="17">
        <v>1</v>
      </c>
      <c r="BS20" s="17">
        <v>1</v>
      </c>
      <c r="BT20" s="17"/>
      <c r="BU20" s="17"/>
      <c r="BV20" s="17">
        <v>1</v>
      </c>
      <c r="BW20" s="17">
        <v>2</v>
      </c>
      <c r="BX20" s="17"/>
      <c r="BY20" s="17">
        <v>1</v>
      </c>
      <c r="BZ20" s="17">
        <v>1</v>
      </c>
      <c r="CA20" s="17">
        <v>1</v>
      </c>
      <c r="CB20" s="17">
        <v>1</v>
      </c>
      <c r="CC20" s="17"/>
      <c r="CD20" s="17">
        <v>1</v>
      </c>
      <c r="CE20" s="17"/>
      <c r="CF20" s="17">
        <v>2</v>
      </c>
      <c r="CG20" s="17"/>
      <c r="CH20" s="17"/>
      <c r="CI20" s="17">
        <v>1</v>
      </c>
      <c r="CJ20" s="17"/>
      <c r="CK20" s="17"/>
      <c r="CL20" s="17"/>
      <c r="CM20" s="17">
        <v>2</v>
      </c>
      <c r="CN20" s="17"/>
      <c r="CO20" s="17">
        <v>2</v>
      </c>
      <c r="CP20" s="17">
        <v>2</v>
      </c>
      <c r="CQ20" s="17">
        <v>2</v>
      </c>
      <c r="CR20" s="17">
        <v>1</v>
      </c>
      <c r="CS20" s="17">
        <v>1</v>
      </c>
      <c r="CT20" s="17">
        <v>2</v>
      </c>
      <c r="CU20" s="17">
        <v>2</v>
      </c>
      <c r="CV20" s="17">
        <v>2</v>
      </c>
      <c r="CW20" s="17">
        <v>2</v>
      </c>
      <c r="CX20" s="17">
        <v>1</v>
      </c>
      <c r="CY20" s="17">
        <v>1</v>
      </c>
      <c r="CZ20" s="17">
        <v>2</v>
      </c>
      <c r="DA20" s="17"/>
      <c r="DB20" s="17"/>
      <c r="DC20" s="17">
        <v>1</v>
      </c>
      <c r="DD20" s="17">
        <v>1</v>
      </c>
      <c r="DE20" s="17">
        <v>2</v>
      </c>
      <c r="DF20" s="17">
        <v>2</v>
      </c>
      <c r="DG20" s="17"/>
      <c r="DH20" s="17"/>
      <c r="DI20" s="17"/>
      <c r="DJ20" s="17">
        <v>1</v>
      </c>
      <c r="DK20" s="17">
        <v>1</v>
      </c>
      <c r="DL20" s="17">
        <v>1</v>
      </c>
      <c r="DM20" s="17">
        <v>2</v>
      </c>
      <c r="DN20" s="17">
        <v>1</v>
      </c>
      <c r="DO20" s="17">
        <v>1</v>
      </c>
      <c r="DP20" s="17">
        <v>1</v>
      </c>
      <c r="DQ20" s="17">
        <v>1</v>
      </c>
      <c r="DR20" s="17">
        <v>1</v>
      </c>
      <c r="DS20" s="17"/>
      <c r="DT20" s="17"/>
      <c r="DU20" s="17">
        <v>1</v>
      </c>
      <c r="DV20" s="17"/>
      <c r="DW20" s="17">
        <v>2</v>
      </c>
      <c r="DX20" s="17"/>
      <c r="DY20" s="17">
        <v>2</v>
      </c>
      <c r="DZ20" s="17"/>
      <c r="EA20" s="17"/>
      <c r="EB20" s="17">
        <v>2</v>
      </c>
      <c r="EC20" s="17"/>
      <c r="ED20" s="17"/>
      <c r="EE20" s="17"/>
      <c r="EF20" s="17">
        <v>1</v>
      </c>
      <c r="EG20" s="17">
        <v>2</v>
      </c>
      <c r="EH20" s="17"/>
      <c r="EI20" s="17">
        <v>1</v>
      </c>
      <c r="EJ20" s="17"/>
      <c r="EK20" s="17"/>
      <c r="EL20" s="17"/>
      <c r="EM20" s="17">
        <v>1</v>
      </c>
      <c r="EN20" s="17"/>
      <c r="EO20" s="17">
        <v>2</v>
      </c>
      <c r="EP20" s="17">
        <v>1</v>
      </c>
      <c r="EQ20" s="17">
        <v>1</v>
      </c>
      <c r="ER20" s="17"/>
      <c r="ES20" s="17">
        <v>1</v>
      </c>
      <c r="ET20" s="17">
        <v>1</v>
      </c>
      <c r="EU20" s="17">
        <v>1</v>
      </c>
      <c r="EV20" s="17">
        <v>1</v>
      </c>
      <c r="EW20" s="17"/>
      <c r="EX20" s="17">
        <v>1</v>
      </c>
      <c r="EY20" s="17"/>
      <c r="EZ20" s="17">
        <v>1</v>
      </c>
      <c r="FA20" s="17">
        <v>1</v>
      </c>
      <c r="FB20" s="17">
        <v>1</v>
      </c>
      <c r="FC20" s="17">
        <v>1</v>
      </c>
      <c r="FD20" s="17">
        <v>2</v>
      </c>
      <c r="FE20" s="17">
        <v>2</v>
      </c>
      <c r="FF20" s="17">
        <v>1</v>
      </c>
      <c r="FG20" s="17">
        <v>1</v>
      </c>
      <c r="FH20" s="17">
        <v>1</v>
      </c>
      <c r="FI20" s="17">
        <v>2</v>
      </c>
      <c r="FJ20" s="17">
        <v>1</v>
      </c>
      <c r="FK20" s="17">
        <v>1</v>
      </c>
      <c r="FL20" s="17">
        <v>1</v>
      </c>
      <c r="FM20" s="17">
        <v>1</v>
      </c>
      <c r="FN20" s="17">
        <v>1</v>
      </c>
      <c r="FO20" s="17">
        <v>1</v>
      </c>
      <c r="FP20" s="17">
        <v>1</v>
      </c>
      <c r="FQ20" s="17">
        <v>1</v>
      </c>
      <c r="FR20" s="17">
        <v>1</v>
      </c>
      <c r="FS20" s="17">
        <v>1</v>
      </c>
      <c r="FT20" s="17">
        <v>1</v>
      </c>
      <c r="FU20" s="17">
        <v>1</v>
      </c>
      <c r="FV20" s="17">
        <v>1</v>
      </c>
      <c r="FW20" s="17"/>
      <c r="FX20" s="17"/>
      <c r="FY20" s="17"/>
      <c r="FZ20" s="17">
        <v>1</v>
      </c>
      <c r="GA20" s="17">
        <v>1</v>
      </c>
      <c r="GB20" s="17"/>
      <c r="GC20" s="17">
        <v>1</v>
      </c>
      <c r="GD20" s="17">
        <v>1</v>
      </c>
      <c r="GE20" s="17">
        <v>1</v>
      </c>
      <c r="GF20" s="17">
        <v>1</v>
      </c>
      <c r="GG20" s="17"/>
      <c r="GH20" s="17">
        <v>1</v>
      </c>
      <c r="GI20" s="17">
        <v>2</v>
      </c>
      <c r="GJ20" s="17"/>
      <c r="GK20" s="17">
        <v>2</v>
      </c>
      <c r="GL20" s="17"/>
      <c r="GM20" s="17"/>
      <c r="GN20" s="17"/>
      <c r="GO20" s="17"/>
      <c r="GP20" s="17"/>
      <c r="GQ20" s="17">
        <v>1</v>
      </c>
      <c r="GR20" s="17">
        <v>1</v>
      </c>
      <c r="GS20" s="17"/>
      <c r="GT20" s="17">
        <v>1</v>
      </c>
      <c r="GU20" s="17"/>
      <c r="GV20" s="17"/>
      <c r="GW20" s="17"/>
      <c r="GX20" s="17"/>
      <c r="GY20" s="17">
        <v>1</v>
      </c>
      <c r="GZ20" s="17"/>
      <c r="HA20" s="17"/>
      <c r="HB20" s="17">
        <v>1</v>
      </c>
      <c r="HC20" s="17">
        <v>1</v>
      </c>
      <c r="HD20" s="17"/>
      <c r="HE20" s="17">
        <v>1</v>
      </c>
      <c r="HF20" s="17">
        <v>1</v>
      </c>
      <c r="HG20" s="17">
        <v>1</v>
      </c>
      <c r="HH20" s="17">
        <v>1</v>
      </c>
      <c r="HI20" s="17">
        <v>1</v>
      </c>
      <c r="HJ20" s="17">
        <v>1</v>
      </c>
      <c r="HK20" s="17">
        <v>1</v>
      </c>
      <c r="HL20" s="17">
        <v>1</v>
      </c>
      <c r="HM20" s="17">
        <v>1</v>
      </c>
      <c r="HN20" s="17">
        <v>1</v>
      </c>
      <c r="HO20" s="17">
        <v>1</v>
      </c>
      <c r="HP20" s="17">
        <v>1</v>
      </c>
      <c r="HQ20" s="17">
        <v>1</v>
      </c>
      <c r="HR20" s="17">
        <v>1</v>
      </c>
      <c r="HS20" s="17">
        <v>1</v>
      </c>
      <c r="HT20" s="17">
        <v>1</v>
      </c>
      <c r="HU20" s="17">
        <v>1</v>
      </c>
      <c r="HV20" s="17">
        <v>1</v>
      </c>
      <c r="HW20" s="17">
        <v>1</v>
      </c>
      <c r="HX20" s="17">
        <v>1</v>
      </c>
      <c r="HY20" s="17">
        <v>1</v>
      </c>
      <c r="HZ20" s="17">
        <v>1</v>
      </c>
      <c r="IA20" s="17">
        <v>1</v>
      </c>
      <c r="IB20" s="17">
        <v>1</v>
      </c>
      <c r="IC20" s="17">
        <v>1</v>
      </c>
      <c r="ID20" s="17"/>
      <c r="IE20" s="17"/>
      <c r="IF20" s="17">
        <v>1</v>
      </c>
      <c r="IG20" s="17"/>
      <c r="IH20" s="17"/>
      <c r="II20" s="17">
        <v>1</v>
      </c>
      <c r="IJ20" s="17"/>
      <c r="IK20" s="17">
        <v>1</v>
      </c>
      <c r="IL20" s="17">
        <v>1</v>
      </c>
      <c r="IM20" s="17"/>
      <c r="IN20" s="17"/>
      <c r="IO20" s="17">
        <v>1</v>
      </c>
      <c r="IP20" s="17">
        <v>1</v>
      </c>
      <c r="IQ20" s="17"/>
      <c r="IR20" s="17">
        <v>1</v>
      </c>
      <c r="IS20" s="17"/>
      <c r="IT20" s="17">
        <v>1</v>
      </c>
      <c r="IU20" s="17"/>
      <c r="IV20" s="17"/>
      <c r="IW20" s="17"/>
      <c r="IX20" s="17"/>
      <c r="IY20" s="17"/>
      <c r="IZ20" s="17">
        <v>1</v>
      </c>
      <c r="JA20" s="17"/>
      <c r="JB20" s="17"/>
      <c r="JC20" s="17"/>
      <c r="JD20" s="17"/>
      <c r="JE20" s="17">
        <v>1</v>
      </c>
      <c r="JF20" s="17"/>
      <c r="JG20" s="17">
        <v>1</v>
      </c>
      <c r="JH20" s="17">
        <v>1</v>
      </c>
      <c r="JI20" s="17">
        <v>1</v>
      </c>
      <c r="JJ20" s="17"/>
      <c r="JK20" s="17">
        <v>2</v>
      </c>
      <c r="JL20" s="17">
        <v>1</v>
      </c>
      <c r="JM20" s="17">
        <v>1</v>
      </c>
      <c r="JN20" s="17">
        <v>1</v>
      </c>
      <c r="JO20" s="17">
        <v>1</v>
      </c>
      <c r="JP20" s="17">
        <v>1</v>
      </c>
      <c r="JQ20" s="17">
        <v>2</v>
      </c>
      <c r="JR20" s="17">
        <v>1</v>
      </c>
      <c r="JS20" s="17"/>
      <c r="JT20" s="17"/>
      <c r="JU20" s="17"/>
      <c r="JV20" s="17"/>
      <c r="JW20" s="17"/>
      <c r="JX20" s="17">
        <v>1</v>
      </c>
      <c r="JY20" s="17">
        <v>1</v>
      </c>
      <c r="JZ20" s="17">
        <v>2</v>
      </c>
      <c r="KA20" s="17">
        <v>1</v>
      </c>
      <c r="KB20" s="17"/>
      <c r="KC20" s="17">
        <v>2</v>
      </c>
      <c r="KD20" s="17">
        <v>2</v>
      </c>
      <c r="KE20" s="17">
        <v>1</v>
      </c>
      <c r="KF20" s="17">
        <v>1</v>
      </c>
      <c r="KG20" s="17">
        <v>1</v>
      </c>
      <c r="KH20" s="17">
        <v>1</v>
      </c>
      <c r="KI20" s="17">
        <v>1</v>
      </c>
      <c r="KJ20" s="17">
        <v>1</v>
      </c>
      <c r="KK20" s="17">
        <v>2</v>
      </c>
      <c r="KL20" s="17">
        <v>1</v>
      </c>
      <c r="KM20" s="17">
        <v>2</v>
      </c>
      <c r="KN20" s="17"/>
      <c r="KO20" s="17"/>
      <c r="KP20" s="17">
        <v>1</v>
      </c>
      <c r="KQ20" s="17"/>
      <c r="KR20" s="17">
        <v>1</v>
      </c>
      <c r="KS20" s="17">
        <v>1</v>
      </c>
      <c r="KT20" s="17">
        <v>1</v>
      </c>
      <c r="KU20" s="17">
        <v>1</v>
      </c>
      <c r="KV20" s="17">
        <v>1</v>
      </c>
      <c r="KW20" s="17">
        <v>1</v>
      </c>
      <c r="KX20" s="17">
        <v>1</v>
      </c>
      <c r="KY20" s="17">
        <v>1</v>
      </c>
      <c r="KZ20" s="17"/>
      <c r="LA20" s="17">
        <v>1</v>
      </c>
      <c r="LB20" s="17">
        <v>1</v>
      </c>
      <c r="LC20" s="17">
        <v>1</v>
      </c>
      <c r="LD20" s="17">
        <v>1</v>
      </c>
      <c r="LE20" s="17"/>
      <c r="LF20" s="17"/>
      <c r="LG20" s="17">
        <v>1</v>
      </c>
      <c r="LH20" s="17">
        <v>1</v>
      </c>
      <c r="LI20" s="17">
        <v>1</v>
      </c>
      <c r="LJ20" s="17">
        <v>1</v>
      </c>
      <c r="LK20" s="17">
        <v>1</v>
      </c>
      <c r="LL20" s="17">
        <v>1</v>
      </c>
      <c r="LM20" s="17"/>
      <c r="LN20" s="17">
        <v>1</v>
      </c>
      <c r="LO20" s="17">
        <v>1</v>
      </c>
      <c r="LP20" s="17">
        <v>1</v>
      </c>
      <c r="LQ20" s="17">
        <v>1</v>
      </c>
      <c r="LR20" s="17"/>
      <c r="LS20" s="17">
        <v>1</v>
      </c>
      <c r="LT20" s="17">
        <v>1</v>
      </c>
      <c r="LU20" s="17"/>
      <c r="LV20" s="17">
        <v>1</v>
      </c>
      <c r="LW20" s="17"/>
      <c r="LX20" s="17"/>
      <c r="LY20" s="17"/>
      <c r="LZ20" s="17">
        <v>1</v>
      </c>
      <c r="MA20" s="17">
        <v>1</v>
      </c>
      <c r="MB20" s="17">
        <v>1</v>
      </c>
      <c r="MC20" s="17"/>
      <c r="MD20" s="17">
        <v>1</v>
      </c>
      <c r="ME20" s="17">
        <v>1</v>
      </c>
      <c r="MF20" s="17"/>
      <c r="MG20" s="17">
        <v>1</v>
      </c>
      <c r="MH20" s="17">
        <v>1</v>
      </c>
      <c r="MI20" s="17"/>
      <c r="MJ20" s="17">
        <v>1</v>
      </c>
      <c r="MK20" s="17"/>
      <c r="ML20" s="17">
        <v>1</v>
      </c>
      <c r="MM20" s="17"/>
      <c r="MN20" s="17">
        <v>1</v>
      </c>
      <c r="MO20" s="17"/>
      <c r="MP20" s="17">
        <v>1</v>
      </c>
      <c r="MQ20" s="17">
        <v>1</v>
      </c>
      <c r="MR20" s="17">
        <v>1</v>
      </c>
      <c r="MS20" s="17"/>
      <c r="MT20" s="17"/>
      <c r="MU20" s="17"/>
      <c r="MV20" s="17"/>
      <c r="MW20" s="17">
        <v>1</v>
      </c>
      <c r="MX20" s="17"/>
      <c r="MY20" s="17"/>
      <c r="MZ20" s="17"/>
      <c r="NA20" s="17"/>
      <c r="NB20" s="17">
        <v>1</v>
      </c>
      <c r="NC20" s="17"/>
      <c r="ND20" s="17"/>
      <c r="NE20" s="17">
        <v>1</v>
      </c>
      <c r="NF20" s="17"/>
      <c r="NG20" s="17"/>
      <c r="NH20" s="17">
        <v>1</v>
      </c>
      <c r="NI20" s="17"/>
      <c r="NJ20" s="17"/>
      <c r="NK20" s="17"/>
      <c r="NL20" s="17"/>
      <c r="NM20" s="17">
        <v>1</v>
      </c>
      <c r="NN20" s="17"/>
      <c r="NO20" s="17">
        <v>1</v>
      </c>
      <c r="NP20" s="17"/>
      <c r="NQ20" s="17"/>
      <c r="NR20" s="17">
        <v>1</v>
      </c>
      <c r="NS20" s="17"/>
      <c r="NT20" s="17"/>
      <c r="NU20" s="17"/>
      <c r="NV20" s="17">
        <v>2</v>
      </c>
      <c r="NW20" s="17">
        <v>1</v>
      </c>
      <c r="NX20" s="17"/>
      <c r="NY20" s="17"/>
      <c r="NZ20" s="17"/>
      <c r="OA20" s="17"/>
      <c r="OB20" s="17"/>
      <c r="OC20" s="17">
        <v>2</v>
      </c>
      <c r="OD20" s="17"/>
      <c r="OE20" s="17"/>
      <c r="OF20" s="17"/>
      <c r="OG20" s="17"/>
      <c r="OH20" s="17">
        <v>1</v>
      </c>
      <c r="OI20" s="17"/>
      <c r="OJ20" s="17"/>
      <c r="OK20" s="17"/>
      <c r="OL20" s="17"/>
      <c r="OM20" s="17"/>
      <c r="ON20" s="17"/>
      <c r="OO20" s="17">
        <v>1</v>
      </c>
      <c r="OP20" s="17"/>
      <c r="OQ20" s="17"/>
      <c r="OR20" s="17">
        <v>2</v>
      </c>
      <c r="OS20" s="17"/>
      <c r="OT20" s="17"/>
      <c r="OU20" s="17"/>
      <c r="OV20" s="17">
        <v>1</v>
      </c>
      <c r="OW20" s="17"/>
      <c r="OX20" s="17"/>
      <c r="OY20" s="17">
        <v>1</v>
      </c>
      <c r="OZ20" s="17"/>
      <c r="PA20" s="17">
        <v>1</v>
      </c>
      <c r="PB20" s="17"/>
      <c r="PC20" s="17"/>
      <c r="PD20" s="17"/>
      <c r="PE20" s="17"/>
      <c r="PF20" s="17">
        <v>2</v>
      </c>
      <c r="PG20" s="17">
        <v>1</v>
      </c>
      <c r="PH20" s="17"/>
      <c r="PI20" s="17">
        <v>1</v>
      </c>
      <c r="PJ20" s="17">
        <v>1</v>
      </c>
      <c r="PK20" s="17">
        <v>1</v>
      </c>
      <c r="PL20" s="17"/>
      <c r="PM20" s="17">
        <v>1</v>
      </c>
      <c r="PN20" s="17">
        <v>2</v>
      </c>
      <c r="PO20" s="17">
        <v>1</v>
      </c>
      <c r="PP20" s="17"/>
      <c r="PQ20" s="17">
        <v>2</v>
      </c>
      <c r="PR20" s="17"/>
      <c r="PS20" s="17"/>
      <c r="PT20" s="17"/>
      <c r="PU20" s="17"/>
      <c r="PV20" s="17"/>
      <c r="PW20" s="17" t="s">
        <v>506</v>
      </c>
      <c r="PX20" s="17" t="s">
        <v>506</v>
      </c>
      <c r="PY20" s="17" t="s">
        <v>506</v>
      </c>
      <c r="PZ20" s="17" t="s">
        <v>506</v>
      </c>
      <c r="QA20" s="17" t="s">
        <v>506</v>
      </c>
      <c r="QB20" s="17" t="s">
        <v>506</v>
      </c>
      <c r="QC20" s="17" t="s">
        <v>507</v>
      </c>
      <c r="QD20" s="17" t="s">
        <v>508</v>
      </c>
      <c r="QE20" s="17" t="s">
        <v>507</v>
      </c>
      <c r="QF20" s="17" t="s">
        <v>506</v>
      </c>
      <c r="QG20" s="17" t="s">
        <v>506</v>
      </c>
      <c r="QH20" s="17" t="s">
        <v>506</v>
      </c>
      <c r="QI20" s="17">
        <v>1</v>
      </c>
      <c r="QJ20" s="17">
        <v>0</v>
      </c>
      <c r="QK20" s="17">
        <v>0</v>
      </c>
      <c r="QL20" s="17">
        <v>1</v>
      </c>
      <c r="QM20" s="17">
        <v>1</v>
      </c>
      <c r="QN20" s="17">
        <v>1</v>
      </c>
      <c r="QO20" s="17">
        <v>1</v>
      </c>
      <c r="QP20" s="17">
        <v>1</v>
      </c>
      <c r="QQ20" s="17">
        <v>1</v>
      </c>
      <c r="QR20" s="17">
        <v>1</v>
      </c>
      <c r="QS20" s="17">
        <v>1</v>
      </c>
      <c r="QT20" s="17">
        <v>1</v>
      </c>
      <c r="QU20" s="17">
        <v>1</v>
      </c>
      <c r="QV20" s="17">
        <v>0</v>
      </c>
      <c r="QW20" s="17">
        <v>0</v>
      </c>
      <c r="QX20" s="17">
        <v>1</v>
      </c>
      <c r="QY20" s="17">
        <v>0</v>
      </c>
      <c r="QZ20" s="17">
        <v>1</v>
      </c>
      <c r="RA20" s="17">
        <v>1</v>
      </c>
      <c r="RB20" s="17">
        <v>1</v>
      </c>
      <c r="RC20" s="17">
        <v>1</v>
      </c>
      <c r="RD20" s="17">
        <v>0</v>
      </c>
      <c r="RE20" s="17">
        <v>1</v>
      </c>
      <c r="RF20" s="17">
        <v>0</v>
      </c>
      <c r="RG20" s="17">
        <v>0</v>
      </c>
      <c r="RH20" s="17">
        <v>0</v>
      </c>
      <c r="RI20" s="17">
        <v>0</v>
      </c>
      <c r="RJ20" s="17">
        <v>0</v>
      </c>
      <c r="RK20" s="17">
        <v>0</v>
      </c>
      <c r="RL20" s="17">
        <v>0</v>
      </c>
      <c r="RM20" s="17">
        <v>0</v>
      </c>
      <c r="RN20" s="17">
        <v>1</v>
      </c>
      <c r="RO20" s="17">
        <v>0</v>
      </c>
      <c r="RP20" s="17">
        <v>0</v>
      </c>
      <c r="RQ20" s="17">
        <v>0</v>
      </c>
      <c r="RR20" s="17">
        <v>0</v>
      </c>
      <c r="RS20" s="17">
        <v>1</v>
      </c>
      <c r="RT20" s="17">
        <v>1</v>
      </c>
      <c r="RU20" s="17">
        <v>1</v>
      </c>
      <c r="RV20" s="17">
        <v>0</v>
      </c>
      <c r="RW20" s="17">
        <v>1</v>
      </c>
      <c r="RX20" s="17">
        <v>1</v>
      </c>
      <c r="RY20" s="17">
        <v>1</v>
      </c>
      <c r="RZ20" s="17">
        <v>1</v>
      </c>
      <c r="SA20" s="17">
        <v>0</v>
      </c>
      <c r="SB20" s="17">
        <v>1</v>
      </c>
      <c r="SC20" s="17">
        <v>0</v>
      </c>
      <c r="SD20" s="17">
        <v>1</v>
      </c>
      <c r="SE20" s="17">
        <v>1</v>
      </c>
      <c r="SF20" s="17">
        <v>0</v>
      </c>
      <c r="SG20" s="17">
        <v>1</v>
      </c>
      <c r="SH20" s="17">
        <v>0</v>
      </c>
      <c r="SI20" s="17">
        <v>10020</v>
      </c>
      <c r="SJ20" s="19">
        <f t="shared" si="3"/>
        <v>196</v>
      </c>
      <c r="SK20" s="19">
        <f t="shared" si="0"/>
        <v>239</v>
      </c>
      <c r="SL20" s="19">
        <f t="shared" si="1"/>
        <v>43</v>
      </c>
      <c r="SM20" s="9">
        <v>10020</v>
      </c>
      <c r="SN20" s="9" t="s">
        <v>504</v>
      </c>
      <c r="SO20" s="10">
        <v>1</v>
      </c>
      <c r="SP20" s="9">
        <v>1</v>
      </c>
      <c r="SQ20" s="11" t="s">
        <v>517</v>
      </c>
      <c r="SR20" s="9">
        <v>16</v>
      </c>
      <c r="SS20" s="28">
        <v>66</v>
      </c>
      <c r="ST20" s="28">
        <v>17</v>
      </c>
      <c r="SU20" s="28">
        <v>239</v>
      </c>
      <c r="SV20" s="28">
        <v>64</v>
      </c>
      <c r="SW20" s="28">
        <v>43</v>
      </c>
      <c r="SX20" s="28">
        <v>37</v>
      </c>
      <c r="SY20" s="29">
        <v>40</v>
      </c>
      <c r="SZ20" s="30">
        <v>35</v>
      </c>
      <c r="TA20" s="31">
        <v>28</v>
      </c>
      <c r="TB20" s="31">
        <v>99</v>
      </c>
    </row>
    <row r="21" spans="1:522" ht="15.75" customHeight="1" x14ac:dyDescent="0.2">
      <c r="A21" s="17">
        <v>10021</v>
      </c>
      <c r="B21" s="17" t="s">
        <v>501</v>
      </c>
      <c r="C21" s="17" t="s">
        <v>502</v>
      </c>
      <c r="D21" s="17" t="s">
        <v>503</v>
      </c>
      <c r="E21" s="17" t="s">
        <v>509</v>
      </c>
      <c r="F21" s="18">
        <v>37984</v>
      </c>
      <c r="G21" s="18">
        <v>38471</v>
      </c>
      <c r="H21" s="14">
        <f t="shared" si="2"/>
        <v>16</v>
      </c>
      <c r="I21" s="17" t="s">
        <v>505</v>
      </c>
      <c r="J21" s="17">
        <v>1</v>
      </c>
      <c r="K21" s="17">
        <v>1</v>
      </c>
      <c r="L21" s="17">
        <v>1</v>
      </c>
      <c r="M21" s="17">
        <v>1</v>
      </c>
      <c r="N21" s="17">
        <v>1</v>
      </c>
      <c r="O21" s="17">
        <v>1</v>
      </c>
      <c r="P21" s="17"/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7">
        <v>1</v>
      </c>
      <c r="W21" s="17">
        <v>1</v>
      </c>
      <c r="X21" s="17">
        <v>1</v>
      </c>
      <c r="Y21" s="17">
        <v>1</v>
      </c>
      <c r="Z21" s="17">
        <v>1</v>
      </c>
      <c r="AA21" s="17">
        <v>1</v>
      </c>
      <c r="AB21" s="17">
        <v>1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17">
        <v>1</v>
      </c>
      <c r="AJ21" s="17">
        <v>1</v>
      </c>
      <c r="AK21" s="17">
        <v>1</v>
      </c>
      <c r="AL21" s="17">
        <v>1</v>
      </c>
      <c r="AM21" s="17"/>
      <c r="AN21" s="17">
        <v>1</v>
      </c>
      <c r="AO21" s="17" t="s">
        <v>506</v>
      </c>
      <c r="AP21" s="17" t="s">
        <v>507</v>
      </c>
      <c r="AQ21" s="17">
        <v>2</v>
      </c>
      <c r="AR21" s="17">
        <v>1</v>
      </c>
      <c r="AS21" s="17">
        <v>1</v>
      </c>
      <c r="AT21" s="17">
        <v>1</v>
      </c>
      <c r="AU21" s="17">
        <v>2</v>
      </c>
      <c r="AV21" s="17">
        <v>2</v>
      </c>
      <c r="AW21" s="17">
        <v>1</v>
      </c>
      <c r="AX21" s="17">
        <v>2</v>
      </c>
      <c r="AY21" s="17">
        <v>1</v>
      </c>
      <c r="AZ21" s="17"/>
      <c r="BA21" s="17">
        <v>2</v>
      </c>
      <c r="BB21" s="17"/>
      <c r="BC21" s="17"/>
      <c r="BD21" s="17">
        <v>1</v>
      </c>
      <c r="BE21" s="17">
        <v>1</v>
      </c>
      <c r="BF21" s="17">
        <v>2</v>
      </c>
      <c r="BG21" s="17">
        <v>1</v>
      </c>
      <c r="BH21" s="17">
        <v>1</v>
      </c>
      <c r="BI21" s="17">
        <v>1</v>
      </c>
      <c r="BJ21" s="17">
        <v>2</v>
      </c>
      <c r="BK21" s="17">
        <v>1</v>
      </c>
      <c r="BL21" s="17">
        <v>1</v>
      </c>
      <c r="BM21" s="17"/>
      <c r="BN21" s="17">
        <v>2</v>
      </c>
      <c r="BO21" s="17"/>
      <c r="BP21" s="17"/>
      <c r="BQ21" s="17"/>
      <c r="BR21" s="17">
        <v>2</v>
      </c>
      <c r="BS21" s="17">
        <v>1</v>
      </c>
      <c r="BT21" s="17"/>
      <c r="BU21" s="17">
        <v>1</v>
      </c>
      <c r="BV21" s="17">
        <v>1</v>
      </c>
      <c r="BW21" s="17">
        <v>1</v>
      </c>
      <c r="BX21" s="17"/>
      <c r="BY21" s="17">
        <v>1</v>
      </c>
      <c r="BZ21" s="17">
        <v>1</v>
      </c>
      <c r="CA21" s="17">
        <v>1</v>
      </c>
      <c r="CB21" s="17"/>
      <c r="CC21" s="17"/>
      <c r="CD21" s="17">
        <v>1</v>
      </c>
      <c r="CE21" s="17"/>
      <c r="CF21" s="17">
        <v>1</v>
      </c>
      <c r="CG21" s="17">
        <v>1</v>
      </c>
      <c r="CH21" s="17">
        <v>1</v>
      </c>
      <c r="CI21" s="17">
        <v>1</v>
      </c>
      <c r="CJ21" s="17">
        <v>1</v>
      </c>
      <c r="CK21" s="17"/>
      <c r="CL21" s="17">
        <v>1</v>
      </c>
      <c r="CM21" s="17">
        <v>1</v>
      </c>
      <c r="CN21" s="17"/>
      <c r="CO21" s="17"/>
      <c r="CP21" s="17">
        <v>1</v>
      </c>
      <c r="CQ21" s="17"/>
      <c r="CR21" s="17"/>
      <c r="CS21" s="17">
        <v>1</v>
      </c>
      <c r="CT21" s="17">
        <v>1</v>
      </c>
      <c r="CU21" s="17"/>
      <c r="CV21" s="17">
        <v>2</v>
      </c>
      <c r="CW21" s="17">
        <v>2</v>
      </c>
      <c r="CX21" s="17">
        <v>1</v>
      </c>
      <c r="CY21" s="17">
        <v>2</v>
      </c>
      <c r="CZ21" s="17">
        <v>2</v>
      </c>
      <c r="DA21" s="17"/>
      <c r="DB21" s="17">
        <v>1</v>
      </c>
      <c r="DC21" s="17">
        <v>1</v>
      </c>
      <c r="DD21" s="17">
        <v>1</v>
      </c>
      <c r="DE21" s="17">
        <v>2</v>
      </c>
      <c r="DF21" s="17">
        <v>1</v>
      </c>
      <c r="DG21" s="17"/>
      <c r="DH21" s="17"/>
      <c r="DI21" s="17"/>
      <c r="DJ21" s="17"/>
      <c r="DK21" s="17">
        <v>1</v>
      </c>
      <c r="DL21" s="17">
        <v>1</v>
      </c>
      <c r="DM21" s="17">
        <v>1</v>
      </c>
      <c r="DN21" s="17"/>
      <c r="DO21" s="17"/>
      <c r="DP21" s="17"/>
      <c r="DQ21" s="17">
        <v>1</v>
      </c>
      <c r="DR21" s="17">
        <v>2</v>
      </c>
      <c r="DS21" s="17">
        <v>1</v>
      </c>
      <c r="DT21" s="17"/>
      <c r="DU21" s="17">
        <v>1</v>
      </c>
      <c r="DV21" s="17"/>
      <c r="DW21" s="17">
        <v>1</v>
      </c>
      <c r="DX21" s="17"/>
      <c r="DY21" s="17">
        <v>1</v>
      </c>
      <c r="DZ21" s="17"/>
      <c r="EA21" s="17"/>
      <c r="EB21" s="17">
        <v>1</v>
      </c>
      <c r="EC21" s="17"/>
      <c r="ED21" s="17"/>
      <c r="EE21" s="17"/>
      <c r="EF21" s="17"/>
      <c r="EG21" s="17">
        <v>1</v>
      </c>
      <c r="EH21" s="17"/>
      <c r="EI21" s="17"/>
      <c r="EJ21" s="17"/>
      <c r="EK21" s="17">
        <v>1</v>
      </c>
      <c r="EL21" s="17">
        <v>1</v>
      </c>
      <c r="EM21" s="17">
        <v>1</v>
      </c>
      <c r="EN21" s="17"/>
      <c r="EO21" s="17">
        <v>2</v>
      </c>
      <c r="EP21" s="17">
        <v>1</v>
      </c>
      <c r="EQ21" s="17"/>
      <c r="ER21" s="17"/>
      <c r="ES21" s="17"/>
      <c r="ET21" s="17">
        <v>1</v>
      </c>
      <c r="EU21" s="17"/>
      <c r="EV21" s="17">
        <v>1</v>
      </c>
      <c r="EW21" s="17"/>
      <c r="EX21" s="17">
        <v>1</v>
      </c>
      <c r="EY21" s="17"/>
      <c r="EZ21" s="17">
        <v>1</v>
      </c>
      <c r="FA21" s="17"/>
      <c r="FB21" s="17">
        <v>1</v>
      </c>
      <c r="FC21" s="17"/>
      <c r="FD21" s="17">
        <v>1</v>
      </c>
      <c r="FE21" s="17">
        <v>1</v>
      </c>
      <c r="FF21" s="17">
        <v>1</v>
      </c>
      <c r="FG21" s="17">
        <v>1</v>
      </c>
      <c r="FH21" s="17">
        <v>1</v>
      </c>
      <c r="FI21" s="17">
        <v>1</v>
      </c>
      <c r="FJ21" s="17">
        <v>1</v>
      </c>
      <c r="FK21" s="17"/>
      <c r="FL21" s="17"/>
      <c r="FM21" s="17"/>
      <c r="FN21" s="17">
        <v>1</v>
      </c>
      <c r="FO21" s="17">
        <v>1</v>
      </c>
      <c r="FP21" s="17">
        <v>1</v>
      </c>
      <c r="FQ21" s="17">
        <v>1</v>
      </c>
      <c r="FR21" s="17"/>
      <c r="FS21" s="17"/>
      <c r="FT21" s="17"/>
      <c r="FU21" s="17">
        <v>2</v>
      </c>
      <c r="FV21" s="17">
        <v>1</v>
      </c>
      <c r="FW21" s="17">
        <v>1</v>
      </c>
      <c r="FX21" s="17"/>
      <c r="FY21" s="17"/>
      <c r="FZ21" s="17">
        <v>1</v>
      </c>
      <c r="GA21" s="17"/>
      <c r="GB21" s="17"/>
      <c r="GC21" s="17">
        <v>1</v>
      </c>
      <c r="GD21" s="17"/>
      <c r="GE21" s="17"/>
      <c r="GF21" s="17"/>
      <c r="GG21" s="17">
        <v>2</v>
      </c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>
        <v>1</v>
      </c>
      <c r="GY21" s="17">
        <v>1</v>
      </c>
      <c r="GZ21" s="17">
        <v>1</v>
      </c>
      <c r="HA21" s="17">
        <v>1</v>
      </c>
      <c r="HB21" s="17"/>
      <c r="HC21" s="17"/>
      <c r="HD21" s="17"/>
      <c r="HE21" s="17"/>
      <c r="HF21" s="17">
        <v>1</v>
      </c>
      <c r="HG21" s="17"/>
      <c r="HH21" s="17"/>
      <c r="HI21" s="17">
        <v>1</v>
      </c>
      <c r="HJ21" s="17">
        <v>1</v>
      </c>
      <c r="HK21" s="17"/>
      <c r="HL21" s="17">
        <v>1</v>
      </c>
      <c r="HM21" s="17"/>
      <c r="HN21" s="17"/>
      <c r="HO21" s="17">
        <v>1</v>
      </c>
      <c r="HP21" s="17">
        <v>1</v>
      </c>
      <c r="HQ21" s="17"/>
      <c r="HR21" s="17"/>
      <c r="HS21" s="17"/>
      <c r="HT21" s="17"/>
      <c r="HU21" s="17">
        <v>1</v>
      </c>
      <c r="HV21" s="17"/>
      <c r="HW21" s="17"/>
      <c r="HX21" s="17"/>
      <c r="HY21" s="17"/>
      <c r="HZ21" s="17">
        <v>1</v>
      </c>
      <c r="IA21" s="17">
        <v>1</v>
      </c>
      <c r="IB21" s="17"/>
      <c r="IC21" s="17"/>
      <c r="ID21" s="17"/>
      <c r="IE21" s="17">
        <v>1</v>
      </c>
      <c r="IF21" s="17">
        <v>1</v>
      </c>
      <c r="IG21" s="17"/>
      <c r="IH21" s="17">
        <v>1</v>
      </c>
      <c r="II21" s="17"/>
      <c r="IJ21" s="17"/>
      <c r="IK21" s="17">
        <v>1</v>
      </c>
      <c r="IL21" s="17">
        <v>1</v>
      </c>
      <c r="IM21" s="17"/>
      <c r="IN21" s="17">
        <v>1</v>
      </c>
      <c r="IO21" s="17"/>
      <c r="IP21" s="17"/>
      <c r="IQ21" s="17"/>
      <c r="IR21" s="17"/>
      <c r="IS21" s="17"/>
      <c r="IT21" s="17"/>
      <c r="IU21" s="17"/>
      <c r="IV21" s="17"/>
      <c r="IW21" s="17"/>
      <c r="IX21" s="17">
        <v>1</v>
      </c>
      <c r="IY21" s="17"/>
      <c r="IZ21" s="17"/>
      <c r="JA21" s="17">
        <v>1</v>
      </c>
      <c r="JB21" s="17"/>
      <c r="JC21" s="17"/>
      <c r="JD21" s="17">
        <v>1</v>
      </c>
      <c r="JE21" s="17"/>
      <c r="JF21" s="17"/>
      <c r="JG21" s="17">
        <v>1</v>
      </c>
      <c r="JH21" s="17"/>
      <c r="JI21" s="17"/>
      <c r="JJ21" s="17"/>
      <c r="JK21" s="17">
        <v>1</v>
      </c>
      <c r="JL21" s="17"/>
      <c r="JM21" s="17">
        <v>1</v>
      </c>
      <c r="JN21" s="17">
        <v>1</v>
      </c>
      <c r="JO21" s="17"/>
      <c r="JP21" s="17"/>
      <c r="JQ21" s="17">
        <v>1</v>
      </c>
      <c r="JR21" s="17"/>
      <c r="JS21" s="17"/>
      <c r="JT21" s="17"/>
      <c r="JU21" s="17"/>
      <c r="JV21" s="17"/>
      <c r="JW21" s="17">
        <v>1</v>
      </c>
      <c r="JX21" s="17">
        <v>2</v>
      </c>
      <c r="JY21" s="17"/>
      <c r="JZ21" s="17">
        <v>2</v>
      </c>
      <c r="KA21" s="17"/>
      <c r="KB21" s="17">
        <v>1</v>
      </c>
      <c r="KC21" s="17"/>
      <c r="KD21" s="17"/>
      <c r="KE21" s="17"/>
      <c r="KF21" s="17">
        <v>1</v>
      </c>
      <c r="KG21" s="17">
        <v>1</v>
      </c>
      <c r="KH21" s="17">
        <v>2</v>
      </c>
      <c r="KI21" s="17"/>
      <c r="KJ21" s="17">
        <v>2</v>
      </c>
      <c r="KK21" s="17">
        <v>2</v>
      </c>
      <c r="KL21" s="17"/>
      <c r="KM21" s="17">
        <v>2</v>
      </c>
      <c r="KN21" s="17">
        <v>1</v>
      </c>
      <c r="KO21" s="17">
        <v>1</v>
      </c>
      <c r="KP21" s="17"/>
      <c r="KQ21" s="17">
        <v>1</v>
      </c>
      <c r="KR21" s="17"/>
      <c r="KS21" s="17"/>
      <c r="KT21" s="17">
        <v>1</v>
      </c>
      <c r="KU21" s="17"/>
      <c r="KV21" s="17"/>
      <c r="KW21" s="17">
        <v>1</v>
      </c>
      <c r="KX21" s="17">
        <v>1</v>
      </c>
      <c r="KY21" s="17">
        <v>1</v>
      </c>
      <c r="KZ21" s="17">
        <v>1</v>
      </c>
      <c r="LA21" s="17">
        <v>1</v>
      </c>
      <c r="LB21" s="17"/>
      <c r="LC21" s="17">
        <v>1</v>
      </c>
      <c r="LD21" s="17">
        <v>1</v>
      </c>
      <c r="LE21" s="17">
        <v>1</v>
      </c>
      <c r="LF21" s="17">
        <v>1</v>
      </c>
      <c r="LG21" s="17">
        <v>1</v>
      </c>
      <c r="LH21" s="17">
        <v>1</v>
      </c>
      <c r="LI21" s="17">
        <v>1</v>
      </c>
      <c r="LJ21" s="17">
        <v>1</v>
      </c>
      <c r="LK21" s="17"/>
      <c r="LL21" s="17">
        <v>1</v>
      </c>
      <c r="LM21" s="17"/>
      <c r="LN21" s="17"/>
      <c r="LO21" s="17"/>
      <c r="LP21" s="17">
        <v>1</v>
      </c>
      <c r="LQ21" s="17">
        <v>1</v>
      </c>
      <c r="LR21" s="17"/>
      <c r="LS21" s="17">
        <v>1</v>
      </c>
      <c r="LT21" s="17">
        <v>1</v>
      </c>
      <c r="LU21" s="17">
        <v>1</v>
      </c>
      <c r="LV21" s="17">
        <v>1</v>
      </c>
      <c r="LW21" s="17">
        <v>1</v>
      </c>
      <c r="LX21" s="17">
        <v>1</v>
      </c>
      <c r="LY21" s="17">
        <v>1</v>
      </c>
      <c r="LZ21" s="17"/>
      <c r="MA21" s="17">
        <v>1</v>
      </c>
      <c r="MB21" s="17">
        <v>1</v>
      </c>
      <c r="MC21" s="17">
        <v>1</v>
      </c>
      <c r="MD21" s="17">
        <v>1</v>
      </c>
      <c r="ME21" s="17">
        <v>1</v>
      </c>
      <c r="MF21" s="17">
        <v>1</v>
      </c>
      <c r="MG21" s="17">
        <v>1</v>
      </c>
      <c r="MH21" s="17">
        <v>1</v>
      </c>
      <c r="MI21" s="17"/>
      <c r="MJ21" s="17">
        <v>1</v>
      </c>
      <c r="MK21" s="17">
        <v>1</v>
      </c>
      <c r="ML21" s="17">
        <v>1</v>
      </c>
      <c r="MM21" s="17">
        <v>1</v>
      </c>
      <c r="MN21" s="17">
        <v>1</v>
      </c>
      <c r="MO21" s="17">
        <v>1</v>
      </c>
      <c r="MP21" s="17">
        <v>1</v>
      </c>
      <c r="MQ21" s="17">
        <v>1</v>
      </c>
      <c r="MR21" s="17"/>
      <c r="MS21" s="17"/>
      <c r="MT21" s="17"/>
      <c r="MU21" s="17">
        <v>1</v>
      </c>
      <c r="MV21" s="17">
        <v>1</v>
      </c>
      <c r="MW21" s="17">
        <v>1</v>
      </c>
      <c r="MX21" s="17"/>
      <c r="MY21" s="17"/>
      <c r="MZ21" s="17"/>
      <c r="NA21" s="17">
        <v>1</v>
      </c>
      <c r="NB21" s="17">
        <v>2</v>
      </c>
      <c r="NC21" s="17">
        <v>1</v>
      </c>
      <c r="ND21" s="17"/>
      <c r="NE21" s="17"/>
      <c r="NF21" s="17"/>
      <c r="NG21" s="17"/>
      <c r="NH21" s="17"/>
      <c r="NI21" s="17"/>
      <c r="NJ21" s="17">
        <v>1</v>
      </c>
      <c r="NK21" s="17"/>
      <c r="NL21" s="17"/>
      <c r="NM21" s="17">
        <v>1</v>
      </c>
      <c r="NN21" s="17"/>
      <c r="NO21" s="17">
        <v>1</v>
      </c>
      <c r="NP21" s="17"/>
      <c r="NQ21" s="17"/>
      <c r="NR21" s="17">
        <v>1</v>
      </c>
      <c r="NS21" s="17"/>
      <c r="NT21" s="17">
        <v>1</v>
      </c>
      <c r="NU21" s="17"/>
      <c r="NV21" s="17">
        <v>1</v>
      </c>
      <c r="NW21" s="17">
        <v>1</v>
      </c>
      <c r="NX21" s="17"/>
      <c r="NY21" s="17"/>
      <c r="NZ21" s="17"/>
      <c r="OA21" s="17"/>
      <c r="OB21" s="17"/>
      <c r="OC21" s="17">
        <v>1</v>
      </c>
      <c r="OD21" s="17"/>
      <c r="OE21" s="17">
        <v>1</v>
      </c>
      <c r="OF21" s="17">
        <v>1</v>
      </c>
      <c r="OG21" s="17">
        <v>1</v>
      </c>
      <c r="OH21" s="17"/>
      <c r="OI21" s="17">
        <v>1</v>
      </c>
      <c r="OJ21" s="17"/>
      <c r="OK21" s="17"/>
      <c r="OL21" s="17">
        <v>1</v>
      </c>
      <c r="OM21" s="17"/>
      <c r="ON21" s="17"/>
      <c r="OO21" s="17"/>
      <c r="OP21" s="17"/>
      <c r="OQ21" s="17">
        <v>1</v>
      </c>
      <c r="OR21" s="17"/>
      <c r="OS21" s="17">
        <v>1</v>
      </c>
      <c r="OT21" s="17">
        <v>2</v>
      </c>
      <c r="OU21" s="17">
        <v>2</v>
      </c>
      <c r="OV21" s="17"/>
      <c r="OW21" s="17">
        <v>1</v>
      </c>
      <c r="OX21" s="17"/>
      <c r="OY21" s="17">
        <v>1</v>
      </c>
      <c r="OZ21" s="17"/>
      <c r="PA21" s="17"/>
      <c r="PB21" s="17"/>
      <c r="PC21" s="17"/>
      <c r="PD21" s="17"/>
      <c r="PE21" s="17"/>
      <c r="PF21" s="17">
        <v>1</v>
      </c>
      <c r="PG21" s="17">
        <v>1</v>
      </c>
      <c r="PH21" s="17"/>
      <c r="PI21" s="17">
        <v>1</v>
      </c>
      <c r="PJ21" s="17">
        <v>1</v>
      </c>
      <c r="PK21" s="17">
        <v>1</v>
      </c>
      <c r="PL21" s="17"/>
      <c r="PM21" s="17"/>
      <c r="PN21" s="17">
        <v>1</v>
      </c>
      <c r="PO21" s="17">
        <v>1</v>
      </c>
      <c r="PP21" s="17"/>
      <c r="PQ21" s="17">
        <v>1</v>
      </c>
      <c r="PR21" s="17">
        <v>1</v>
      </c>
      <c r="PS21" s="17"/>
      <c r="PT21" s="17"/>
      <c r="PU21" s="17"/>
      <c r="PV21" s="17"/>
      <c r="PW21" s="17" t="s">
        <v>506</v>
      </c>
      <c r="PX21" s="17" t="s">
        <v>506</v>
      </c>
      <c r="PY21" s="17" t="s">
        <v>507</v>
      </c>
      <c r="PZ21" s="17" t="s">
        <v>506</v>
      </c>
      <c r="QA21" s="17"/>
      <c r="QB21" s="17" t="s">
        <v>507</v>
      </c>
      <c r="QC21" s="17" t="s">
        <v>508</v>
      </c>
      <c r="QD21" s="17" t="s">
        <v>508</v>
      </c>
      <c r="QE21" s="17" t="s">
        <v>507</v>
      </c>
      <c r="QF21" s="17" t="s">
        <v>507</v>
      </c>
      <c r="QG21" s="17" t="s">
        <v>508</v>
      </c>
      <c r="QH21" s="17" t="s">
        <v>506</v>
      </c>
      <c r="QI21" s="17">
        <v>1</v>
      </c>
      <c r="QJ21" s="17">
        <v>0</v>
      </c>
      <c r="QK21" s="17">
        <v>1</v>
      </c>
      <c r="QL21" s="17">
        <v>1</v>
      </c>
      <c r="QM21" s="17">
        <v>1</v>
      </c>
      <c r="QN21" s="17">
        <v>1</v>
      </c>
      <c r="QO21" s="17">
        <v>1</v>
      </c>
      <c r="QP21" s="17">
        <v>1</v>
      </c>
      <c r="QQ21" s="17">
        <v>1</v>
      </c>
      <c r="QR21" s="17">
        <v>1</v>
      </c>
      <c r="QS21" s="17">
        <v>1</v>
      </c>
      <c r="QT21" s="17">
        <v>1</v>
      </c>
      <c r="QU21" s="17">
        <v>2</v>
      </c>
      <c r="QV21" s="17">
        <v>1</v>
      </c>
      <c r="QW21" s="17">
        <v>2</v>
      </c>
      <c r="QX21" s="17">
        <v>2</v>
      </c>
      <c r="QY21" s="17">
        <v>1</v>
      </c>
      <c r="QZ21" s="17">
        <v>1</v>
      </c>
      <c r="RA21" s="17">
        <v>1</v>
      </c>
      <c r="RB21" s="17">
        <v>1</v>
      </c>
      <c r="RC21" s="17">
        <v>1</v>
      </c>
      <c r="RD21" s="17">
        <v>1</v>
      </c>
      <c r="RE21" s="17">
        <v>1</v>
      </c>
      <c r="RF21" s="17">
        <v>0</v>
      </c>
      <c r="RG21" s="17">
        <v>0</v>
      </c>
      <c r="RH21" s="17">
        <v>0</v>
      </c>
      <c r="RI21" s="17">
        <v>0</v>
      </c>
      <c r="RJ21" s="17">
        <v>0</v>
      </c>
      <c r="RK21" s="17">
        <v>0</v>
      </c>
      <c r="RL21" s="17">
        <v>0</v>
      </c>
      <c r="RM21" s="17">
        <v>0</v>
      </c>
      <c r="RN21" s="17">
        <v>0</v>
      </c>
      <c r="RO21" s="17">
        <v>0</v>
      </c>
      <c r="RP21" s="17">
        <v>0</v>
      </c>
      <c r="RQ21" s="17">
        <v>0</v>
      </c>
      <c r="RR21" s="17">
        <v>0</v>
      </c>
      <c r="RS21" s="17">
        <v>0</v>
      </c>
      <c r="RT21" s="17">
        <v>0</v>
      </c>
      <c r="RU21" s="17">
        <v>1</v>
      </c>
      <c r="RV21" s="17">
        <v>0</v>
      </c>
      <c r="RW21" s="17">
        <v>1</v>
      </c>
      <c r="RX21" s="17">
        <v>1</v>
      </c>
      <c r="RY21" s="17">
        <v>0</v>
      </c>
      <c r="RZ21" s="17">
        <v>0</v>
      </c>
      <c r="SA21" s="17">
        <v>1</v>
      </c>
      <c r="SB21" s="17">
        <v>1</v>
      </c>
      <c r="SC21" s="17">
        <v>0</v>
      </c>
      <c r="SD21" s="17">
        <v>0</v>
      </c>
      <c r="SE21" s="17">
        <v>1</v>
      </c>
      <c r="SF21" s="17">
        <v>1</v>
      </c>
      <c r="SG21" s="17">
        <v>1</v>
      </c>
      <c r="SH21" s="17"/>
      <c r="SI21" s="17">
        <v>10021</v>
      </c>
      <c r="SJ21" s="19">
        <f t="shared" si="3"/>
        <v>174</v>
      </c>
      <c r="SK21" s="19">
        <f t="shared" si="0"/>
        <v>201</v>
      </c>
      <c r="SL21" s="19">
        <f t="shared" si="1"/>
        <v>27</v>
      </c>
      <c r="SM21" s="9">
        <v>10021</v>
      </c>
      <c r="SN21" s="9" t="s">
        <v>509</v>
      </c>
      <c r="SO21" s="10">
        <v>1</v>
      </c>
      <c r="SP21" s="9">
        <v>2</v>
      </c>
      <c r="SQ21" s="11" t="s">
        <v>517</v>
      </c>
      <c r="SR21" s="9">
        <v>16</v>
      </c>
      <c r="SS21" s="28">
        <v>59.5</v>
      </c>
      <c r="ST21" s="28">
        <v>16</v>
      </c>
      <c r="SU21" s="28">
        <v>202</v>
      </c>
      <c r="SV21" s="28">
        <v>48</v>
      </c>
      <c r="SW21" s="28">
        <v>27</v>
      </c>
      <c r="SX21" s="28">
        <v>30</v>
      </c>
      <c r="SY21" s="29">
        <v>36</v>
      </c>
      <c r="SZ21" s="30">
        <v>22</v>
      </c>
      <c r="TA21" s="31">
        <v>26</v>
      </c>
      <c r="TB21" s="31">
        <v>65</v>
      </c>
    </row>
    <row r="22" spans="1:522" ht="15.75" customHeight="1" x14ac:dyDescent="0.2">
      <c r="A22" s="17">
        <v>10022</v>
      </c>
      <c r="B22" s="17" t="s">
        <v>501</v>
      </c>
      <c r="C22" s="17" t="s">
        <v>502</v>
      </c>
      <c r="D22" s="17" t="s">
        <v>503</v>
      </c>
      <c r="E22" s="17" t="s">
        <v>504</v>
      </c>
      <c r="F22" s="18">
        <v>37961</v>
      </c>
      <c r="G22" s="18">
        <v>38509</v>
      </c>
      <c r="H22" s="14">
        <f t="shared" si="2"/>
        <v>18</v>
      </c>
      <c r="I22" s="17" t="s">
        <v>505</v>
      </c>
      <c r="J22" s="17">
        <v>1</v>
      </c>
      <c r="K22" s="17">
        <v>1</v>
      </c>
      <c r="L22" s="17">
        <v>1</v>
      </c>
      <c r="M22" s="17">
        <v>1</v>
      </c>
      <c r="N22" s="17"/>
      <c r="O22" s="17">
        <v>1</v>
      </c>
      <c r="P22" s="17"/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/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/>
      <c r="AE22" s="17">
        <v>1</v>
      </c>
      <c r="AF22" s="17"/>
      <c r="AG22" s="17">
        <v>1</v>
      </c>
      <c r="AH22" s="17">
        <v>1</v>
      </c>
      <c r="AI22" s="17"/>
      <c r="AJ22" s="17">
        <v>1</v>
      </c>
      <c r="AK22" s="17">
        <v>1</v>
      </c>
      <c r="AL22" s="17">
        <v>1</v>
      </c>
      <c r="AM22" s="17">
        <v>1</v>
      </c>
      <c r="AN22" s="17">
        <v>1</v>
      </c>
      <c r="AO22" s="17" t="s">
        <v>508</v>
      </c>
      <c r="AP22" s="17" t="s">
        <v>507</v>
      </c>
      <c r="AQ22" s="17"/>
      <c r="AR22" s="17"/>
      <c r="AS22" s="17"/>
      <c r="AT22" s="17">
        <v>1</v>
      </c>
      <c r="AU22" s="17"/>
      <c r="AV22" s="17"/>
      <c r="AW22" s="17">
        <v>1</v>
      </c>
      <c r="AX22" s="17">
        <v>1</v>
      </c>
      <c r="AY22" s="17">
        <v>1</v>
      </c>
      <c r="AZ22" s="17">
        <v>2</v>
      </c>
      <c r="BA22" s="17">
        <v>1</v>
      </c>
      <c r="BB22" s="17"/>
      <c r="BC22" s="17"/>
      <c r="BD22" s="17"/>
      <c r="BE22" s="17"/>
      <c r="BF22" s="17"/>
      <c r="BG22" s="17"/>
      <c r="BH22" s="17">
        <v>1</v>
      </c>
      <c r="BI22" s="17">
        <v>1</v>
      </c>
      <c r="BJ22" s="17"/>
      <c r="BK22" s="17"/>
      <c r="BL22" s="17"/>
      <c r="BM22" s="17"/>
      <c r="BN22" s="17">
        <v>1</v>
      </c>
      <c r="BO22" s="17"/>
      <c r="BP22" s="17">
        <v>2</v>
      </c>
      <c r="BQ22" s="17"/>
      <c r="BR22" s="17">
        <v>1</v>
      </c>
      <c r="BS22" s="17">
        <v>1</v>
      </c>
      <c r="BT22" s="17">
        <v>1</v>
      </c>
      <c r="BU22" s="17"/>
      <c r="BV22" s="17"/>
      <c r="BW22" s="17">
        <v>1</v>
      </c>
      <c r="BX22" s="17"/>
      <c r="BY22" s="17"/>
      <c r="BZ22" s="17"/>
      <c r="CA22" s="17"/>
      <c r="CB22" s="17">
        <v>1</v>
      </c>
      <c r="CC22" s="17"/>
      <c r="CD22" s="17"/>
      <c r="CE22" s="17"/>
      <c r="CF22" s="17"/>
      <c r="CG22" s="17"/>
      <c r="CH22" s="17"/>
      <c r="CI22" s="17">
        <v>1</v>
      </c>
      <c r="CJ22" s="17">
        <v>1</v>
      </c>
      <c r="CK22" s="17"/>
      <c r="CL22" s="17"/>
      <c r="CM22" s="17">
        <v>2</v>
      </c>
      <c r="CN22" s="17">
        <v>1</v>
      </c>
      <c r="CO22" s="17"/>
      <c r="CP22" s="17">
        <v>1</v>
      </c>
      <c r="CQ22" s="17"/>
      <c r="CR22" s="17"/>
      <c r="CS22" s="17">
        <v>1</v>
      </c>
      <c r="CT22" s="17">
        <v>1</v>
      </c>
      <c r="CU22" s="17">
        <v>2</v>
      </c>
      <c r="CV22" s="17">
        <v>2</v>
      </c>
      <c r="CW22" s="17">
        <v>2</v>
      </c>
      <c r="CX22" s="17">
        <v>1</v>
      </c>
      <c r="CY22" s="17">
        <v>2</v>
      </c>
      <c r="CZ22" s="17">
        <v>2</v>
      </c>
      <c r="DA22" s="17">
        <v>1</v>
      </c>
      <c r="DB22" s="17"/>
      <c r="DC22" s="17">
        <v>1</v>
      </c>
      <c r="DD22" s="17"/>
      <c r="DE22" s="17">
        <v>2</v>
      </c>
      <c r="DF22" s="17">
        <v>1</v>
      </c>
      <c r="DG22" s="17"/>
      <c r="DH22" s="17"/>
      <c r="DI22" s="17"/>
      <c r="DJ22" s="17"/>
      <c r="DK22" s="17">
        <v>1</v>
      </c>
      <c r="DL22" s="17">
        <v>1</v>
      </c>
      <c r="DM22" s="17">
        <v>1</v>
      </c>
      <c r="DN22" s="17">
        <v>1</v>
      </c>
      <c r="DO22" s="17">
        <v>1</v>
      </c>
      <c r="DP22" s="17">
        <v>1</v>
      </c>
      <c r="DQ22" s="17">
        <v>1</v>
      </c>
      <c r="DR22" s="17">
        <v>2</v>
      </c>
      <c r="DS22" s="17"/>
      <c r="DT22" s="17"/>
      <c r="DU22" s="17">
        <v>1</v>
      </c>
      <c r="DV22" s="17"/>
      <c r="DW22" s="17">
        <v>1</v>
      </c>
      <c r="DX22" s="17">
        <v>1</v>
      </c>
      <c r="DY22" s="17">
        <v>2</v>
      </c>
      <c r="DZ22" s="17"/>
      <c r="EA22" s="17"/>
      <c r="EB22" s="17"/>
      <c r="EC22" s="17"/>
      <c r="ED22" s="17">
        <v>1</v>
      </c>
      <c r="EE22" s="17"/>
      <c r="EF22" s="17"/>
      <c r="EG22" s="17">
        <v>1</v>
      </c>
      <c r="EH22" s="17"/>
      <c r="EI22" s="17">
        <v>1</v>
      </c>
      <c r="EJ22" s="17">
        <v>1</v>
      </c>
      <c r="EK22" s="17"/>
      <c r="EL22" s="17"/>
      <c r="EM22" s="17">
        <v>1</v>
      </c>
      <c r="EN22" s="17"/>
      <c r="EO22" s="17">
        <v>2</v>
      </c>
      <c r="EP22" s="17">
        <v>1</v>
      </c>
      <c r="EQ22" s="17"/>
      <c r="ER22" s="17"/>
      <c r="ES22" s="17">
        <v>1</v>
      </c>
      <c r="ET22" s="17">
        <v>1</v>
      </c>
      <c r="EU22" s="17">
        <v>1</v>
      </c>
      <c r="EV22" s="17">
        <v>1</v>
      </c>
      <c r="EW22" s="17"/>
      <c r="EX22" s="17">
        <v>1</v>
      </c>
      <c r="EY22" s="17">
        <v>1</v>
      </c>
      <c r="EZ22" s="17"/>
      <c r="FA22" s="17"/>
      <c r="FB22" s="17">
        <v>2</v>
      </c>
      <c r="FC22" s="17"/>
      <c r="FD22" s="17">
        <v>1</v>
      </c>
      <c r="FE22" s="17">
        <v>1</v>
      </c>
      <c r="FF22" s="17"/>
      <c r="FG22" s="17">
        <v>1</v>
      </c>
      <c r="FH22" s="17">
        <v>1</v>
      </c>
      <c r="FI22" s="17">
        <v>2</v>
      </c>
      <c r="FJ22" s="17">
        <v>1</v>
      </c>
      <c r="FK22" s="17">
        <v>1</v>
      </c>
      <c r="FL22" s="17"/>
      <c r="FM22" s="17"/>
      <c r="FN22" s="17">
        <v>1</v>
      </c>
      <c r="FO22" s="17">
        <v>1</v>
      </c>
      <c r="FP22" s="17">
        <v>1</v>
      </c>
      <c r="FQ22" s="17">
        <v>1</v>
      </c>
      <c r="FR22" s="17">
        <v>1</v>
      </c>
      <c r="FS22" s="17"/>
      <c r="FT22" s="17">
        <v>1</v>
      </c>
      <c r="FU22" s="17">
        <v>2</v>
      </c>
      <c r="FV22" s="17">
        <v>2</v>
      </c>
      <c r="FW22" s="17">
        <v>1</v>
      </c>
      <c r="FX22" s="17">
        <v>1</v>
      </c>
      <c r="FY22" s="17">
        <v>2</v>
      </c>
      <c r="FZ22" s="17">
        <v>2</v>
      </c>
      <c r="GA22" s="17"/>
      <c r="GB22" s="17">
        <v>1</v>
      </c>
      <c r="GC22" s="17">
        <v>1</v>
      </c>
      <c r="GD22" s="17"/>
      <c r="GE22" s="17">
        <v>1</v>
      </c>
      <c r="GF22" s="17"/>
      <c r="GG22" s="17">
        <v>2</v>
      </c>
      <c r="GH22" s="17"/>
      <c r="GI22" s="17">
        <v>1</v>
      </c>
      <c r="GJ22" s="17">
        <v>1</v>
      </c>
      <c r="GK22" s="17">
        <v>1</v>
      </c>
      <c r="GL22" s="17">
        <v>1</v>
      </c>
      <c r="GM22" s="17"/>
      <c r="GN22" s="17"/>
      <c r="GO22" s="17"/>
      <c r="GP22" s="17">
        <v>1</v>
      </c>
      <c r="GQ22" s="17"/>
      <c r="GR22" s="17">
        <v>1</v>
      </c>
      <c r="GS22" s="17"/>
      <c r="GT22" s="17"/>
      <c r="GU22" s="17"/>
      <c r="GV22" s="17"/>
      <c r="GW22" s="17">
        <v>1</v>
      </c>
      <c r="GX22" s="17">
        <v>2</v>
      </c>
      <c r="GY22" s="17">
        <v>2</v>
      </c>
      <c r="GZ22" s="17">
        <v>2</v>
      </c>
      <c r="HA22" s="17">
        <v>2</v>
      </c>
      <c r="HB22" s="17"/>
      <c r="HC22" s="17">
        <v>2</v>
      </c>
      <c r="HD22" s="17">
        <v>1</v>
      </c>
      <c r="HE22" s="17">
        <v>1</v>
      </c>
      <c r="HF22" s="17">
        <v>1</v>
      </c>
      <c r="HG22" s="17">
        <v>1</v>
      </c>
      <c r="HH22" s="17">
        <v>1</v>
      </c>
      <c r="HI22" s="17">
        <v>1</v>
      </c>
      <c r="HJ22" s="17">
        <v>1</v>
      </c>
      <c r="HK22" s="17">
        <v>1</v>
      </c>
      <c r="HL22" s="17">
        <v>1</v>
      </c>
      <c r="HM22" s="17">
        <v>1</v>
      </c>
      <c r="HN22" s="17">
        <v>1</v>
      </c>
      <c r="HO22" s="17">
        <v>1</v>
      </c>
      <c r="HP22" s="17">
        <v>1</v>
      </c>
      <c r="HQ22" s="17">
        <v>1</v>
      </c>
      <c r="HR22" s="17">
        <v>1</v>
      </c>
      <c r="HS22" s="17"/>
      <c r="HT22" s="17">
        <v>1</v>
      </c>
      <c r="HU22" s="17">
        <v>1</v>
      </c>
      <c r="HV22" s="17">
        <v>1</v>
      </c>
      <c r="HW22" s="17">
        <v>1</v>
      </c>
      <c r="HX22" s="17">
        <v>1</v>
      </c>
      <c r="HY22" s="17">
        <v>1</v>
      </c>
      <c r="HZ22" s="17">
        <v>1</v>
      </c>
      <c r="IA22" s="17">
        <v>1</v>
      </c>
      <c r="IB22" s="17">
        <v>1</v>
      </c>
      <c r="IC22" s="17"/>
      <c r="ID22" s="17"/>
      <c r="IE22" s="17"/>
      <c r="IF22" s="17">
        <v>1</v>
      </c>
      <c r="IG22" s="17">
        <v>1</v>
      </c>
      <c r="IH22" s="17">
        <v>1</v>
      </c>
      <c r="II22" s="17">
        <v>1</v>
      </c>
      <c r="IJ22" s="17"/>
      <c r="IK22" s="17">
        <v>1</v>
      </c>
      <c r="IL22" s="17">
        <v>1</v>
      </c>
      <c r="IM22" s="17"/>
      <c r="IN22" s="17">
        <v>1</v>
      </c>
      <c r="IO22" s="17">
        <v>2</v>
      </c>
      <c r="IP22" s="17"/>
      <c r="IQ22" s="17"/>
      <c r="IR22" s="17">
        <v>1</v>
      </c>
      <c r="IS22" s="17">
        <v>1</v>
      </c>
      <c r="IT22" s="17">
        <v>2</v>
      </c>
      <c r="IU22" s="17"/>
      <c r="IV22" s="17"/>
      <c r="IW22" s="17"/>
      <c r="IX22" s="17"/>
      <c r="IY22" s="17">
        <v>2</v>
      </c>
      <c r="IZ22" s="17">
        <v>2</v>
      </c>
      <c r="JA22" s="17">
        <v>1</v>
      </c>
      <c r="JB22" s="17">
        <v>1</v>
      </c>
      <c r="JC22" s="17"/>
      <c r="JD22" s="17"/>
      <c r="JE22" s="17">
        <v>2</v>
      </c>
      <c r="JF22" s="17"/>
      <c r="JG22" s="17">
        <v>1</v>
      </c>
      <c r="JH22" s="17">
        <v>1</v>
      </c>
      <c r="JI22" s="17"/>
      <c r="JJ22" s="17">
        <v>1</v>
      </c>
      <c r="JK22" s="17">
        <v>2</v>
      </c>
      <c r="JL22" s="17"/>
      <c r="JM22" s="17">
        <v>1</v>
      </c>
      <c r="JN22" s="17">
        <v>1</v>
      </c>
      <c r="JO22" s="17"/>
      <c r="JP22" s="17"/>
      <c r="JQ22" s="17">
        <v>2</v>
      </c>
      <c r="JR22" s="17">
        <v>1</v>
      </c>
      <c r="JS22" s="17"/>
      <c r="JT22" s="17"/>
      <c r="JU22" s="17"/>
      <c r="JV22" s="17"/>
      <c r="JW22" s="17"/>
      <c r="JX22" s="17">
        <v>1</v>
      </c>
      <c r="JY22" s="17">
        <v>1</v>
      </c>
      <c r="JZ22" s="17">
        <v>1</v>
      </c>
      <c r="KA22" s="17">
        <v>1</v>
      </c>
      <c r="KB22" s="17">
        <v>1</v>
      </c>
      <c r="KC22" s="17">
        <v>2</v>
      </c>
      <c r="KD22" s="17">
        <v>2</v>
      </c>
      <c r="KE22" s="17">
        <v>1</v>
      </c>
      <c r="KF22" s="17">
        <v>1</v>
      </c>
      <c r="KG22" s="17"/>
      <c r="KH22" s="17">
        <v>1</v>
      </c>
      <c r="KI22" s="17">
        <v>1</v>
      </c>
      <c r="KJ22" s="17">
        <v>1</v>
      </c>
      <c r="KK22" s="17">
        <v>2</v>
      </c>
      <c r="KL22" s="17">
        <v>1</v>
      </c>
      <c r="KM22" s="17">
        <v>1</v>
      </c>
      <c r="KN22" s="17"/>
      <c r="KO22" s="17">
        <v>1</v>
      </c>
      <c r="KP22" s="17">
        <v>2</v>
      </c>
      <c r="KQ22" s="17">
        <v>1</v>
      </c>
      <c r="KR22" s="17">
        <v>1</v>
      </c>
      <c r="KS22" s="17"/>
      <c r="KT22" s="17">
        <v>1</v>
      </c>
      <c r="KU22" s="17"/>
      <c r="KV22" s="17">
        <v>1</v>
      </c>
      <c r="KW22" s="17">
        <v>2</v>
      </c>
      <c r="KX22" s="17"/>
      <c r="KY22" s="17">
        <v>2</v>
      </c>
      <c r="KZ22" s="17">
        <v>1</v>
      </c>
      <c r="LA22" s="17">
        <v>2</v>
      </c>
      <c r="LB22" s="17"/>
      <c r="LC22" s="17">
        <v>2</v>
      </c>
      <c r="LD22" s="17">
        <v>1</v>
      </c>
      <c r="LE22" s="17"/>
      <c r="LF22" s="17"/>
      <c r="LG22" s="17"/>
      <c r="LH22" s="17">
        <v>1</v>
      </c>
      <c r="LI22" s="17"/>
      <c r="LJ22" s="17">
        <v>1</v>
      </c>
      <c r="LK22" s="17">
        <v>1</v>
      </c>
      <c r="LL22" s="17">
        <v>1</v>
      </c>
      <c r="LM22" s="17"/>
      <c r="LN22" s="17"/>
      <c r="LO22" s="17"/>
      <c r="LP22" s="17"/>
      <c r="LQ22" s="17"/>
      <c r="LR22" s="17">
        <v>1</v>
      </c>
      <c r="LS22" s="17">
        <v>2</v>
      </c>
      <c r="LT22" s="17">
        <v>1</v>
      </c>
      <c r="LU22" s="17"/>
      <c r="LV22" s="17">
        <v>1</v>
      </c>
      <c r="LW22" s="17">
        <v>1</v>
      </c>
      <c r="LX22" s="17">
        <v>1</v>
      </c>
      <c r="LY22" s="17">
        <v>1</v>
      </c>
      <c r="LZ22" s="17"/>
      <c r="MA22" s="17">
        <v>1</v>
      </c>
      <c r="MB22" s="17"/>
      <c r="MC22" s="17">
        <v>1</v>
      </c>
      <c r="MD22" s="17">
        <v>2</v>
      </c>
      <c r="ME22" s="17">
        <v>1</v>
      </c>
      <c r="MF22" s="17"/>
      <c r="MG22" s="17"/>
      <c r="MH22" s="17">
        <v>1</v>
      </c>
      <c r="MI22" s="17"/>
      <c r="MJ22" s="17">
        <v>2</v>
      </c>
      <c r="MK22" s="17"/>
      <c r="ML22" s="17">
        <v>2</v>
      </c>
      <c r="MM22" s="17">
        <v>1</v>
      </c>
      <c r="MN22" s="17">
        <v>1</v>
      </c>
      <c r="MO22" s="17">
        <v>1</v>
      </c>
      <c r="MP22" s="17">
        <v>1</v>
      </c>
      <c r="MQ22" s="17"/>
      <c r="MR22" s="17">
        <v>1</v>
      </c>
      <c r="MS22" s="17"/>
      <c r="MT22" s="17"/>
      <c r="MU22" s="17">
        <v>1</v>
      </c>
      <c r="MV22" s="17"/>
      <c r="MW22" s="17"/>
      <c r="MX22" s="17">
        <v>1</v>
      </c>
      <c r="MY22" s="17"/>
      <c r="MZ22" s="17"/>
      <c r="NA22" s="17">
        <v>1</v>
      </c>
      <c r="NB22" s="17">
        <v>1</v>
      </c>
      <c r="NC22" s="17"/>
      <c r="ND22" s="17">
        <v>1</v>
      </c>
      <c r="NE22" s="17">
        <v>1</v>
      </c>
      <c r="NF22" s="17"/>
      <c r="NG22" s="17"/>
      <c r="NH22" s="17">
        <v>1</v>
      </c>
      <c r="NI22" s="17">
        <v>1</v>
      </c>
      <c r="NJ22" s="17"/>
      <c r="NK22" s="17"/>
      <c r="NL22" s="17"/>
      <c r="NM22" s="17"/>
      <c r="NN22" s="17">
        <v>1</v>
      </c>
      <c r="NO22" s="17"/>
      <c r="NP22" s="17"/>
      <c r="NQ22" s="17"/>
      <c r="NR22" s="17">
        <v>1</v>
      </c>
      <c r="NS22" s="17">
        <v>1</v>
      </c>
      <c r="NT22" s="17"/>
      <c r="NU22" s="17"/>
      <c r="NV22" s="17">
        <v>2</v>
      </c>
      <c r="NW22" s="17">
        <v>2</v>
      </c>
      <c r="NX22" s="17">
        <v>1</v>
      </c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>
        <v>2</v>
      </c>
      <c r="OJ22" s="17"/>
      <c r="OK22" s="17"/>
      <c r="OL22" s="17"/>
      <c r="OM22" s="17">
        <v>1</v>
      </c>
      <c r="ON22" s="17">
        <v>1</v>
      </c>
      <c r="OO22" s="17"/>
      <c r="OP22" s="17">
        <v>1</v>
      </c>
      <c r="OQ22" s="17">
        <v>1</v>
      </c>
      <c r="OR22" s="17">
        <v>2</v>
      </c>
      <c r="OS22" s="17"/>
      <c r="OT22" s="17">
        <v>1</v>
      </c>
      <c r="OU22" s="17"/>
      <c r="OV22" s="17">
        <v>1</v>
      </c>
      <c r="OW22" s="17">
        <v>1</v>
      </c>
      <c r="OX22" s="17"/>
      <c r="OY22" s="17">
        <v>2</v>
      </c>
      <c r="OZ22" s="17"/>
      <c r="PA22" s="17">
        <v>2</v>
      </c>
      <c r="PB22" s="17">
        <v>1</v>
      </c>
      <c r="PC22" s="17"/>
      <c r="PD22" s="17"/>
      <c r="PE22" s="17">
        <v>1</v>
      </c>
      <c r="PF22" s="17">
        <v>1</v>
      </c>
      <c r="PG22" s="17">
        <v>1</v>
      </c>
      <c r="PH22" s="17"/>
      <c r="PI22" s="17"/>
      <c r="PJ22" s="17">
        <v>1</v>
      </c>
      <c r="PK22" s="17">
        <v>1</v>
      </c>
      <c r="PL22" s="17"/>
      <c r="PM22" s="17">
        <v>1</v>
      </c>
      <c r="PN22" s="17">
        <v>1</v>
      </c>
      <c r="PO22" s="17">
        <v>1</v>
      </c>
      <c r="PP22" s="17">
        <v>2</v>
      </c>
      <c r="PQ22" s="17">
        <v>2</v>
      </c>
      <c r="PR22" s="17">
        <v>2</v>
      </c>
      <c r="PS22" s="17">
        <v>2</v>
      </c>
      <c r="PT22" s="17">
        <v>2</v>
      </c>
      <c r="PU22" s="17"/>
      <c r="PV22" s="17"/>
      <c r="PW22" s="17" t="s">
        <v>506</v>
      </c>
      <c r="PX22" s="17" t="s">
        <v>506</v>
      </c>
      <c r="PY22" s="17" t="s">
        <v>506</v>
      </c>
      <c r="PZ22" s="17" t="s">
        <v>506</v>
      </c>
      <c r="QA22" s="17" t="s">
        <v>506</v>
      </c>
      <c r="QB22" s="17" t="s">
        <v>507</v>
      </c>
      <c r="QC22" s="17" t="s">
        <v>507</v>
      </c>
      <c r="QD22" s="17" t="s">
        <v>508</v>
      </c>
      <c r="QE22" s="17" t="s">
        <v>506</v>
      </c>
      <c r="QF22" s="17" t="s">
        <v>506</v>
      </c>
      <c r="QG22" s="17" t="s">
        <v>507</v>
      </c>
      <c r="QH22" s="17" t="s">
        <v>506</v>
      </c>
      <c r="QI22" s="17">
        <v>1</v>
      </c>
      <c r="QJ22" s="17">
        <v>1</v>
      </c>
      <c r="QK22" s="17">
        <v>0</v>
      </c>
      <c r="QL22" s="17">
        <v>1</v>
      </c>
      <c r="QM22" s="17">
        <v>0</v>
      </c>
      <c r="QN22" s="17">
        <v>1</v>
      </c>
      <c r="QO22" s="17">
        <v>1</v>
      </c>
      <c r="QP22" s="17">
        <v>1</v>
      </c>
      <c r="QQ22" s="17">
        <v>1</v>
      </c>
      <c r="QR22" s="17">
        <v>1</v>
      </c>
      <c r="QS22" s="17">
        <v>1</v>
      </c>
      <c r="QT22" s="17">
        <v>1</v>
      </c>
      <c r="QU22" s="17">
        <v>1</v>
      </c>
      <c r="QV22" s="17">
        <v>1</v>
      </c>
      <c r="QW22" s="17">
        <v>1</v>
      </c>
      <c r="QX22" s="17">
        <v>1</v>
      </c>
      <c r="QY22" s="17">
        <v>0</v>
      </c>
      <c r="QZ22" s="17">
        <v>1</v>
      </c>
      <c r="RA22" s="17">
        <v>0</v>
      </c>
      <c r="RB22" s="17">
        <v>1</v>
      </c>
      <c r="RC22" s="17">
        <v>1</v>
      </c>
      <c r="RD22" s="17">
        <v>1</v>
      </c>
      <c r="RE22" s="17">
        <v>1</v>
      </c>
      <c r="RF22" s="17">
        <v>1</v>
      </c>
      <c r="RG22" s="17">
        <v>1</v>
      </c>
      <c r="RH22" s="17">
        <v>0</v>
      </c>
      <c r="RI22" s="17">
        <v>0</v>
      </c>
      <c r="RJ22" s="17">
        <v>0</v>
      </c>
      <c r="RK22" s="17">
        <v>0</v>
      </c>
      <c r="RL22" s="17">
        <v>1</v>
      </c>
      <c r="RM22" s="17">
        <v>1</v>
      </c>
      <c r="RN22" s="17">
        <v>1</v>
      </c>
      <c r="RO22" s="17">
        <v>0</v>
      </c>
      <c r="RP22" s="17">
        <v>0</v>
      </c>
      <c r="RQ22" s="17">
        <v>0</v>
      </c>
      <c r="RR22" s="17">
        <v>0</v>
      </c>
      <c r="RS22" s="17">
        <v>1</v>
      </c>
      <c r="RT22" s="17">
        <v>1</v>
      </c>
      <c r="RU22" s="17">
        <v>1</v>
      </c>
      <c r="RV22" s="17">
        <v>0</v>
      </c>
      <c r="RW22" s="17">
        <v>1</v>
      </c>
      <c r="RX22" s="17">
        <v>1</v>
      </c>
      <c r="RY22" s="17">
        <v>1</v>
      </c>
      <c r="RZ22" s="17">
        <v>1</v>
      </c>
      <c r="SA22" s="17">
        <v>1</v>
      </c>
      <c r="SB22" s="17">
        <v>1</v>
      </c>
      <c r="SC22" s="17">
        <v>1</v>
      </c>
      <c r="SD22" s="17">
        <v>1</v>
      </c>
      <c r="SE22" s="17">
        <v>1</v>
      </c>
      <c r="SF22" s="17">
        <v>1</v>
      </c>
      <c r="SG22" s="17">
        <v>1</v>
      </c>
      <c r="SH22" s="17">
        <v>1</v>
      </c>
      <c r="SI22" s="17">
        <v>10022</v>
      </c>
      <c r="SJ22" s="19">
        <f t="shared" si="3"/>
        <v>176</v>
      </c>
      <c r="SK22" s="19">
        <f t="shared" si="0"/>
        <v>230</v>
      </c>
      <c r="SL22" s="19">
        <f t="shared" si="1"/>
        <v>54</v>
      </c>
      <c r="SM22" s="9">
        <v>10022</v>
      </c>
      <c r="SN22" s="9" t="s">
        <v>504</v>
      </c>
      <c r="SO22" s="10">
        <v>1</v>
      </c>
      <c r="SP22" s="9">
        <v>2</v>
      </c>
      <c r="SQ22" s="11" t="s">
        <v>517</v>
      </c>
      <c r="SR22" s="9">
        <v>18</v>
      </c>
      <c r="SS22" s="28">
        <v>66</v>
      </c>
      <c r="ST22" s="28">
        <v>18</v>
      </c>
      <c r="SU22" s="28">
        <v>231</v>
      </c>
      <c r="SV22" s="28">
        <v>42</v>
      </c>
      <c r="SW22" s="28">
        <v>57</v>
      </c>
      <c r="SX22" s="28">
        <v>31</v>
      </c>
      <c r="SY22" s="29">
        <v>49</v>
      </c>
      <c r="SZ22" s="30">
        <v>60</v>
      </c>
      <c r="TA22" s="31">
        <v>22</v>
      </c>
      <c r="TB22" s="31">
        <v>30</v>
      </c>
    </row>
    <row r="23" spans="1:522" ht="15.75" customHeight="1" x14ac:dyDescent="0.2">
      <c r="A23" s="17">
        <v>10023</v>
      </c>
      <c r="B23" s="17" t="s">
        <v>501</v>
      </c>
      <c r="C23" s="17" t="s">
        <v>502</v>
      </c>
      <c r="D23" s="17" t="s">
        <v>503</v>
      </c>
      <c r="E23" s="17" t="s">
        <v>504</v>
      </c>
      <c r="F23" s="18">
        <v>37997</v>
      </c>
      <c r="G23" s="18">
        <v>38520</v>
      </c>
      <c r="H23" s="14">
        <f t="shared" si="2"/>
        <v>17</v>
      </c>
      <c r="I23" s="17" t="s">
        <v>505</v>
      </c>
      <c r="J23" s="17">
        <v>1</v>
      </c>
      <c r="K23" s="17">
        <v>1</v>
      </c>
      <c r="L23" s="17">
        <v>1</v>
      </c>
      <c r="M23" s="17">
        <v>1</v>
      </c>
      <c r="N23" s="17">
        <v>1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17">
        <v>1</v>
      </c>
      <c r="U23" s="17">
        <v>1</v>
      </c>
      <c r="V23" s="17">
        <v>1</v>
      </c>
      <c r="W23" s="17">
        <v>1</v>
      </c>
      <c r="X23" s="17">
        <v>1</v>
      </c>
      <c r="Y23" s="17">
        <v>1</v>
      </c>
      <c r="Z23" s="17">
        <v>1</v>
      </c>
      <c r="AA23" s="17">
        <v>1</v>
      </c>
      <c r="AB23" s="17">
        <v>1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17">
        <v>1</v>
      </c>
      <c r="AJ23" s="17">
        <v>1</v>
      </c>
      <c r="AK23" s="17">
        <v>1</v>
      </c>
      <c r="AL23" s="17">
        <v>1</v>
      </c>
      <c r="AM23" s="17">
        <v>1</v>
      </c>
      <c r="AN23" s="17">
        <v>1</v>
      </c>
      <c r="AO23" s="17" t="s">
        <v>507</v>
      </c>
      <c r="AP23" s="17" t="s">
        <v>507</v>
      </c>
      <c r="AQ23" s="17">
        <v>2</v>
      </c>
      <c r="AR23" s="17">
        <v>2</v>
      </c>
      <c r="AS23" s="17">
        <v>1</v>
      </c>
      <c r="AT23" s="17">
        <v>1</v>
      </c>
      <c r="AU23" s="17">
        <v>1</v>
      </c>
      <c r="AV23" s="17">
        <v>1</v>
      </c>
      <c r="AW23" s="17">
        <v>2</v>
      </c>
      <c r="AX23" s="17">
        <v>2</v>
      </c>
      <c r="AY23" s="17">
        <v>2</v>
      </c>
      <c r="AZ23" s="17">
        <v>2</v>
      </c>
      <c r="BA23" s="17">
        <v>2</v>
      </c>
      <c r="BB23" s="17">
        <v>2</v>
      </c>
      <c r="BC23" s="17"/>
      <c r="BD23" s="17">
        <v>1</v>
      </c>
      <c r="BE23" s="17">
        <v>1</v>
      </c>
      <c r="BF23" s="17">
        <v>1</v>
      </c>
      <c r="BG23" s="17">
        <v>1</v>
      </c>
      <c r="BH23" s="17">
        <v>1</v>
      </c>
      <c r="BI23" s="17">
        <v>1</v>
      </c>
      <c r="BJ23" s="17">
        <v>1</v>
      </c>
      <c r="BK23" s="17">
        <v>1</v>
      </c>
      <c r="BL23" s="17">
        <v>1</v>
      </c>
      <c r="BM23" s="17">
        <v>1</v>
      </c>
      <c r="BN23" s="17">
        <v>2</v>
      </c>
      <c r="BO23" s="17"/>
      <c r="BP23" s="17">
        <v>2</v>
      </c>
      <c r="BQ23" s="17">
        <v>1</v>
      </c>
      <c r="BR23" s="17">
        <v>2</v>
      </c>
      <c r="BS23" s="17">
        <v>1</v>
      </c>
      <c r="BT23" s="17"/>
      <c r="BU23" s="17">
        <v>1</v>
      </c>
      <c r="BV23" s="17">
        <v>1</v>
      </c>
      <c r="BW23" s="17">
        <v>2</v>
      </c>
      <c r="BX23" s="17">
        <v>1</v>
      </c>
      <c r="BY23" s="17">
        <v>1</v>
      </c>
      <c r="BZ23" s="17">
        <v>1</v>
      </c>
      <c r="CA23" s="17">
        <v>1</v>
      </c>
      <c r="CB23" s="17">
        <v>1</v>
      </c>
      <c r="CC23" s="17"/>
      <c r="CD23" s="17">
        <v>1</v>
      </c>
      <c r="CE23" s="17"/>
      <c r="CF23" s="17"/>
      <c r="CG23" s="17"/>
      <c r="CH23" s="17">
        <v>1</v>
      </c>
      <c r="CI23" s="17">
        <v>1</v>
      </c>
      <c r="CJ23" s="17"/>
      <c r="CK23" s="17"/>
      <c r="CL23" s="17">
        <v>1</v>
      </c>
      <c r="CM23" s="17">
        <v>1</v>
      </c>
      <c r="CN23" s="17">
        <v>1</v>
      </c>
      <c r="CO23" s="17">
        <v>2</v>
      </c>
      <c r="CP23" s="17">
        <v>1</v>
      </c>
      <c r="CQ23" s="17">
        <v>1</v>
      </c>
      <c r="CR23" s="17">
        <v>1</v>
      </c>
      <c r="CS23" s="17">
        <v>1</v>
      </c>
      <c r="CT23" s="17">
        <v>1</v>
      </c>
      <c r="CU23" s="17">
        <v>2</v>
      </c>
      <c r="CV23" s="17">
        <v>2</v>
      </c>
      <c r="CW23" s="17">
        <v>2</v>
      </c>
      <c r="CX23" s="17">
        <v>1</v>
      </c>
      <c r="CY23" s="17">
        <v>1</v>
      </c>
      <c r="CZ23" s="17">
        <v>1</v>
      </c>
      <c r="DA23" s="17">
        <v>1</v>
      </c>
      <c r="DB23" s="17"/>
      <c r="DC23" s="17">
        <v>1</v>
      </c>
      <c r="DD23" s="17">
        <v>1</v>
      </c>
      <c r="DE23" s="17">
        <v>1</v>
      </c>
      <c r="DF23" s="17">
        <v>1</v>
      </c>
      <c r="DG23" s="17"/>
      <c r="DH23" s="17">
        <v>1</v>
      </c>
      <c r="DI23" s="17"/>
      <c r="DJ23" s="17">
        <v>1</v>
      </c>
      <c r="DK23" s="17">
        <v>1</v>
      </c>
      <c r="DL23" s="17">
        <v>1</v>
      </c>
      <c r="DM23" s="17"/>
      <c r="DN23" s="17">
        <v>1</v>
      </c>
      <c r="DO23" s="17"/>
      <c r="DP23" s="17">
        <v>1</v>
      </c>
      <c r="DQ23" s="17">
        <v>1</v>
      </c>
      <c r="DR23" s="17">
        <v>1</v>
      </c>
      <c r="DS23" s="17">
        <v>1</v>
      </c>
      <c r="DT23" s="17">
        <v>2</v>
      </c>
      <c r="DU23" s="17"/>
      <c r="DV23" s="17">
        <v>1</v>
      </c>
      <c r="DW23" s="17">
        <v>2</v>
      </c>
      <c r="DX23" s="17">
        <v>1</v>
      </c>
      <c r="DY23" s="17">
        <v>1</v>
      </c>
      <c r="DZ23" s="17">
        <v>1</v>
      </c>
      <c r="EA23" s="17"/>
      <c r="EB23" s="17">
        <v>1</v>
      </c>
      <c r="EC23" s="17">
        <v>1</v>
      </c>
      <c r="ED23" s="17">
        <v>1</v>
      </c>
      <c r="EE23" s="17"/>
      <c r="EF23" s="17">
        <v>1</v>
      </c>
      <c r="EG23" s="17">
        <v>1</v>
      </c>
      <c r="EH23" s="17"/>
      <c r="EI23" s="17">
        <v>1</v>
      </c>
      <c r="EJ23" s="17"/>
      <c r="EK23" s="17">
        <v>1</v>
      </c>
      <c r="EL23" s="17">
        <v>1</v>
      </c>
      <c r="EM23" s="17">
        <v>1</v>
      </c>
      <c r="EN23" s="17"/>
      <c r="EO23" s="17">
        <v>1</v>
      </c>
      <c r="EP23" s="17">
        <v>1</v>
      </c>
      <c r="EQ23" s="17"/>
      <c r="ER23" s="17"/>
      <c r="ES23" s="17">
        <v>1</v>
      </c>
      <c r="ET23" s="17">
        <v>1</v>
      </c>
      <c r="EU23" s="17">
        <v>1</v>
      </c>
      <c r="EV23" s="17">
        <v>1</v>
      </c>
      <c r="EW23" s="17"/>
      <c r="EX23" s="17">
        <v>1</v>
      </c>
      <c r="EY23" s="17"/>
      <c r="EZ23" s="17"/>
      <c r="FA23" s="17">
        <v>1</v>
      </c>
      <c r="FB23" s="17">
        <v>1</v>
      </c>
      <c r="FC23" s="17"/>
      <c r="FD23" s="17">
        <v>1</v>
      </c>
      <c r="FE23" s="17">
        <v>1</v>
      </c>
      <c r="FF23" s="17"/>
      <c r="FG23" s="17">
        <v>1</v>
      </c>
      <c r="FH23" s="17">
        <v>1</v>
      </c>
      <c r="FI23" s="17">
        <v>1</v>
      </c>
      <c r="FJ23" s="17">
        <v>1</v>
      </c>
      <c r="FK23" s="17">
        <v>1</v>
      </c>
      <c r="FL23" s="17"/>
      <c r="FM23" s="17">
        <v>1</v>
      </c>
      <c r="FN23" s="17">
        <v>1</v>
      </c>
      <c r="FO23" s="17">
        <v>1</v>
      </c>
      <c r="FP23" s="17">
        <v>1</v>
      </c>
      <c r="FQ23" s="17">
        <v>1</v>
      </c>
      <c r="FR23" s="17">
        <v>1</v>
      </c>
      <c r="FS23" s="17">
        <v>1</v>
      </c>
      <c r="FT23" s="17">
        <v>1</v>
      </c>
      <c r="FU23" s="17">
        <v>1</v>
      </c>
      <c r="FV23" s="17">
        <v>1</v>
      </c>
      <c r="FW23" s="17">
        <v>1</v>
      </c>
      <c r="FX23" s="17"/>
      <c r="FY23" s="17"/>
      <c r="FZ23" s="17"/>
      <c r="GA23" s="17">
        <v>1</v>
      </c>
      <c r="GB23" s="17"/>
      <c r="GC23" s="17">
        <v>1</v>
      </c>
      <c r="GD23" s="17"/>
      <c r="GE23" s="17">
        <v>1</v>
      </c>
      <c r="GF23" s="17"/>
      <c r="GG23" s="17"/>
      <c r="GH23" s="17">
        <v>1</v>
      </c>
      <c r="GI23" s="17">
        <v>1</v>
      </c>
      <c r="GJ23" s="17"/>
      <c r="GK23" s="17">
        <v>1</v>
      </c>
      <c r="GL23" s="17"/>
      <c r="GM23" s="17"/>
      <c r="GN23" s="17"/>
      <c r="GO23" s="17"/>
      <c r="GP23" s="17">
        <v>1</v>
      </c>
      <c r="GQ23" s="17">
        <v>1</v>
      </c>
      <c r="GR23" s="17"/>
      <c r="GS23" s="17"/>
      <c r="GT23" s="17"/>
      <c r="GU23" s="17"/>
      <c r="GV23" s="17"/>
      <c r="GW23" s="17">
        <v>1</v>
      </c>
      <c r="GX23" s="17">
        <v>1</v>
      </c>
      <c r="GY23" s="17">
        <v>1</v>
      </c>
      <c r="GZ23" s="17">
        <v>1</v>
      </c>
      <c r="HA23" s="17">
        <v>1</v>
      </c>
      <c r="HB23" s="17">
        <v>1</v>
      </c>
      <c r="HC23" s="17">
        <v>1</v>
      </c>
      <c r="HD23" s="17"/>
      <c r="HE23" s="17">
        <v>1</v>
      </c>
      <c r="HF23" s="17">
        <v>1</v>
      </c>
      <c r="HG23" s="17">
        <v>1</v>
      </c>
      <c r="HH23" s="17"/>
      <c r="HI23" s="17">
        <v>1</v>
      </c>
      <c r="HJ23" s="17">
        <v>1</v>
      </c>
      <c r="HK23" s="17">
        <v>1</v>
      </c>
      <c r="HL23" s="17">
        <v>1</v>
      </c>
      <c r="HM23" s="17"/>
      <c r="HN23" s="17"/>
      <c r="HO23" s="17">
        <v>1</v>
      </c>
      <c r="HP23" s="17">
        <v>1</v>
      </c>
      <c r="HQ23" s="17">
        <v>1</v>
      </c>
      <c r="HR23" s="17"/>
      <c r="HS23" s="17"/>
      <c r="HT23" s="17">
        <v>1</v>
      </c>
      <c r="HU23" s="17">
        <v>1</v>
      </c>
      <c r="HV23" s="17">
        <v>1</v>
      </c>
      <c r="HW23" s="17">
        <v>1</v>
      </c>
      <c r="HX23" s="17"/>
      <c r="HY23" s="17">
        <v>1</v>
      </c>
      <c r="HZ23" s="17">
        <v>1</v>
      </c>
      <c r="IA23" s="17">
        <v>1</v>
      </c>
      <c r="IB23" s="17">
        <v>1</v>
      </c>
      <c r="IC23" s="17"/>
      <c r="ID23" s="17"/>
      <c r="IE23" s="17"/>
      <c r="IF23" s="17">
        <v>1</v>
      </c>
      <c r="IG23" s="17">
        <v>1</v>
      </c>
      <c r="IH23" s="17"/>
      <c r="II23" s="17">
        <v>1</v>
      </c>
      <c r="IJ23" s="17">
        <v>2</v>
      </c>
      <c r="IK23" s="17">
        <v>1</v>
      </c>
      <c r="IL23" s="17">
        <v>1</v>
      </c>
      <c r="IM23" s="17"/>
      <c r="IN23" s="17"/>
      <c r="IO23" s="17"/>
      <c r="IP23" s="17"/>
      <c r="IQ23" s="17"/>
      <c r="IR23" s="17">
        <v>1</v>
      </c>
      <c r="IS23" s="17">
        <v>1</v>
      </c>
      <c r="IT23" s="17">
        <v>1</v>
      </c>
      <c r="IU23" s="17"/>
      <c r="IV23" s="17"/>
      <c r="IW23" s="17"/>
      <c r="IX23" s="17">
        <v>1</v>
      </c>
      <c r="IY23" s="17">
        <v>1</v>
      </c>
      <c r="IZ23" s="17">
        <v>1</v>
      </c>
      <c r="JA23" s="17">
        <v>1</v>
      </c>
      <c r="JB23" s="17"/>
      <c r="JC23" s="17"/>
      <c r="JD23" s="17"/>
      <c r="JE23" s="17">
        <v>1</v>
      </c>
      <c r="JF23" s="17">
        <v>1</v>
      </c>
      <c r="JG23" s="17">
        <v>1</v>
      </c>
      <c r="JH23" s="17"/>
      <c r="JI23" s="17"/>
      <c r="JJ23" s="17"/>
      <c r="JK23" s="17">
        <v>2</v>
      </c>
      <c r="JL23" s="17"/>
      <c r="JM23" s="17"/>
      <c r="JN23" s="17"/>
      <c r="JO23" s="17"/>
      <c r="JP23" s="17"/>
      <c r="JQ23" s="17">
        <v>2</v>
      </c>
      <c r="JR23" s="17">
        <v>1</v>
      </c>
      <c r="JS23" s="17"/>
      <c r="JT23" s="17"/>
      <c r="JU23" s="17"/>
      <c r="JV23" s="17"/>
      <c r="JW23" s="17"/>
      <c r="JX23" s="17">
        <v>1</v>
      </c>
      <c r="JY23" s="17">
        <v>1</v>
      </c>
      <c r="JZ23" s="17">
        <v>1</v>
      </c>
      <c r="KA23" s="17">
        <v>1</v>
      </c>
      <c r="KB23" s="17"/>
      <c r="KC23" s="17">
        <v>2</v>
      </c>
      <c r="KD23" s="17">
        <v>1</v>
      </c>
      <c r="KE23" s="17">
        <v>1</v>
      </c>
      <c r="KF23" s="17">
        <v>1</v>
      </c>
      <c r="KG23" s="17">
        <v>1</v>
      </c>
      <c r="KH23" s="17">
        <v>2</v>
      </c>
      <c r="KI23" s="17">
        <v>1</v>
      </c>
      <c r="KJ23" s="17">
        <v>1</v>
      </c>
      <c r="KK23" s="17"/>
      <c r="KL23" s="17">
        <v>2</v>
      </c>
      <c r="KM23" s="17"/>
      <c r="KN23" s="17"/>
      <c r="KO23" s="17"/>
      <c r="KP23" s="17">
        <v>1</v>
      </c>
      <c r="KQ23" s="17"/>
      <c r="KR23" s="17">
        <v>1</v>
      </c>
      <c r="KS23" s="17"/>
      <c r="KT23" s="17"/>
      <c r="KU23" s="17"/>
      <c r="KV23" s="17"/>
      <c r="KW23" s="17"/>
      <c r="KX23" s="17">
        <v>1</v>
      </c>
      <c r="KY23" s="17">
        <v>1</v>
      </c>
      <c r="KZ23" s="17">
        <v>1</v>
      </c>
      <c r="LA23" s="17">
        <v>1</v>
      </c>
      <c r="LB23" s="17">
        <v>1</v>
      </c>
      <c r="LC23" s="17"/>
      <c r="LD23" s="17">
        <v>1</v>
      </c>
      <c r="LE23" s="17"/>
      <c r="LF23" s="17"/>
      <c r="LG23" s="17">
        <v>1</v>
      </c>
      <c r="LH23" s="17">
        <v>1</v>
      </c>
      <c r="LI23" s="17">
        <v>1</v>
      </c>
      <c r="LJ23" s="17"/>
      <c r="LK23" s="17">
        <v>1</v>
      </c>
      <c r="LL23" s="17">
        <v>1</v>
      </c>
      <c r="LM23" s="17"/>
      <c r="LN23" s="17"/>
      <c r="LO23" s="17">
        <v>1</v>
      </c>
      <c r="LP23" s="17">
        <v>1</v>
      </c>
      <c r="LQ23" s="17">
        <v>1</v>
      </c>
      <c r="LR23" s="17"/>
      <c r="LS23" s="17">
        <v>1</v>
      </c>
      <c r="LT23" s="17"/>
      <c r="LU23" s="17"/>
      <c r="LV23" s="17">
        <v>1</v>
      </c>
      <c r="LW23" s="17"/>
      <c r="LX23" s="17">
        <v>1</v>
      </c>
      <c r="LY23" s="17"/>
      <c r="LZ23" s="17">
        <v>1</v>
      </c>
      <c r="MA23" s="17"/>
      <c r="MB23" s="17">
        <v>1</v>
      </c>
      <c r="MC23" s="17"/>
      <c r="MD23" s="17"/>
      <c r="ME23" s="17"/>
      <c r="MF23" s="17"/>
      <c r="MG23" s="17">
        <v>1</v>
      </c>
      <c r="MH23" s="17">
        <v>1</v>
      </c>
      <c r="MI23" s="17">
        <v>1</v>
      </c>
      <c r="MJ23" s="17">
        <v>1</v>
      </c>
      <c r="MK23" s="17"/>
      <c r="ML23" s="17">
        <v>1</v>
      </c>
      <c r="MM23" s="17">
        <v>1</v>
      </c>
      <c r="MN23" s="17"/>
      <c r="MO23" s="17"/>
      <c r="MP23" s="17">
        <v>1</v>
      </c>
      <c r="MQ23" s="17">
        <v>1</v>
      </c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>
        <v>1</v>
      </c>
      <c r="NC23" s="17">
        <v>1</v>
      </c>
      <c r="ND23" s="17">
        <v>1</v>
      </c>
      <c r="NE23" s="17"/>
      <c r="NF23" s="17"/>
      <c r="NG23" s="17">
        <v>1</v>
      </c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>
        <v>1</v>
      </c>
      <c r="NT23" s="17"/>
      <c r="NU23" s="17"/>
      <c r="NV23" s="17">
        <v>2</v>
      </c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>
        <v>1</v>
      </c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>
        <v>1</v>
      </c>
      <c r="PG23" s="17">
        <v>1</v>
      </c>
      <c r="PH23" s="17"/>
      <c r="PI23" s="17">
        <v>1</v>
      </c>
      <c r="PJ23" s="17">
        <v>1</v>
      </c>
      <c r="PK23" s="17">
        <v>1</v>
      </c>
      <c r="PL23" s="17"/>
      <c r="PM23" s="17"/>
      <c r="PN23" s="17">
        <v>1</v>
      </c>
      <c r="PO23" s="17"/>
      <c r="PP23" s="17"/>
      <c r="PQ23" s="17">
        <v>1</v>
      </c>
      <c r="PR23" s="17"/>
      <c r="PS23" s="17"/>
      <c r="PT23" s="17"/>
      <c r="PU23" s="17"/>
      <c r="PV23" s="17"/>
      <c r="PW23" s="17" t="s">
        <v>506</v>
      </c>
      <c r="PX23" s="17" t="s">
        <v>506</v>
      </c>
      <c r="PY23" s="17" t="s">
        <v>506</v>
      </c>
      <c r="PZ23" s="17" t="s">
        <v>506</v>
      </c>
      <c r="QA23" s="17" t="s">
        <v>506</v>
      </c>
      <c r="QB23" s="17" t="s">
        <v>506</v>
      </c>
      <c r="QC23" s="17" t="s">
        <v>506</v>
      </c>
      <c r="QD23" s="17" t="s">
        <v>506</v>
      </c>
      <c r="QE23" s="17"/>
      <c r="QF23" s="17" t="s">
        <v>507</v>
      </c>
      <c r="QG23" s="17" t="s">
        <v>507</v>
      </c>
      <c r="QH23" s="17" t="s">
        <v>507</v>
      </c>
      <c r="QI23" s="17">
        <v>1</v>
      </c>
      <c r="QJ23" s="17">
        <v>1</v>
      </c>
      <c r="QK23" s="17">
        <v>1</v>
      </c>
      <c r="QL23" s="17">
        <v>1</v>
      </c>
      <c r="QM23" s="17">
        <v>1</v>
      </c>
      <c r="QN23" s="17">
        <v>1</v>
      </c>
      <c r="QO23" s="17">
        <v>1</v>
      </c>
      <c r="QP23" s="17">
        <v>1</v>
      </c>
      <c r="QQ23" s="17">
        <v>1</v>
      </c>
      <c r="QR23" s="17">
        <v>1</v>
      </c>
      <c r="QS23" s="17">
        <v>1</v>
      </c>
      <c r="QT23" s="17">
        <v>1</v>
      </c>
      <c r="QU23" s="17">
        <v>1</v>
      </c>
      <c r="QV23" s="17">
        <v>1</v>
      </c>
      <c r="QW23" s="17">
        <v>1</v>
      </c>
      <c r="QX23" s="17">
        <v>0</v>
      </c>
      <c r="QY23" s="17">
        <v>1</v>
      </c>
      <c r="QZ23" s="17">
        <v>1</v>
      </c>
      <c r="RA23" s="17">
        <v>1</v>
      </c>
      <c r="RB23" s="17">
        <v>1</v>
      </c>
      <c r="RC23" s="17">
        <v>1</v>
      </c>
      <c r="RD23" s="17">
        <v>1</v>
      </c>
      <c r="RE23" s="17">
        <v>1</v>
      </c>
      <c r="RF23" s="17">
        <v>0</v>
      </c>
      <c r="RG23" s="17">
        <v>1</v>
      </c>
      <c r="RH23" s="17">
        <v>0</v>
      </c>
      <c r="RI23" s="17">
        <v>0</v>
      </c>
      <c r="RJ23" s="17">
        <v>0</v>
      </c>
      <c r="RK23" s="17">
        <v>0</v>
      </c>
      <c r="RL23" s="17">
        <v>0</v>
      </c>
      <c r="RM23" s="17">
        <v>0</v>
      </c>
      <c r="RN23" s="17">
        <v>1</v>
      </c>
      <c r="RO23" s="17">
        <v>0</v>
      </c>
      <c r="RP23" s="17">
        <v>0</v>
      </c>
      <c r="RQ23" s="17">
        <v>0</v>
      </c>
      <c r="RR23" s="17">
        <v>0</v>
      </c>
      <c r="RS23" s="17">
        <v>1</v>
      </c>
      <c r="RT23" s="17">
        <v>1</v>
      </c>
      <c r="RU23" s="17">
        <v>1</v>
      </c>
      <c r="RV23" s="17">
        <v>0</v>
      </c>
      <c r="RW23" s="17">
        <v>1</v>
      </c>
      <c r="RX23" s="17">
        <v>1</v>
      </c>
      <c r="RY23" s="17">
        <v>1</v>
      </c>
      <c r="RZ23" s="17">
        <v>1</v>
      </c>
      <c r="SA23" s="17">
        <v>1</v>
      </c>
      <c r="SB23" s="17">
        <v>1</v>
      </c>
      <c r="SC23" s="17">
        <v>1</v>
      </c>
      <c r="SD23" s="17">
        <v>1</v>
      </c>
      <c r="SE23" s="17">
        <v>1</v>
      </c>
      <c r="SF23" s="17">
        <v>1</v>
      </c>
      <c r="SG23" s="17">
        <v>1</v>
      </c>
      <c r="SH23" s="17">
        <v>1</v>
      </c>
      <c r="SI23" s="17">
        <v>10023</v>
      </c>
      <c r="SJ23" s="19">
        <f t="shared" si="3"/>
        <v>192</v>
      </c>
      <c r="SK23" s="19">
        <f t="shared" si="0"/>
        <v>217</v>
      </c>
      <c r="SL23" s="19">
        <f t="shared" si="1"/>
        <v>25</v>
      </c>
      <c r="SM23" s="9">
        <v>10023</v>
      </c>
      <c r="SN23" s="9" t="s">
        <v>504</v>
      </c>
      <c r="SO23" s="10">
        <v>2</v>
      </c>
      <c r="SP23" s="9">
        <v>3</v>
      </c>
      <c r="SQ23" s="13" t="s">
        <v>517</v>
      </c>
      <c r="SR23" s="9">
        <v>18</v>
      </c>
      <c r="SS23" s="28">
        <v>59.5</v>
      </c>
      <c r="ST23" s="28">
        <v>17</v>
      </c>
      <c r="SU23" s="28">
        <v>217</v>
      </c>
      <c r="SV23" s="28">
        <v>53</v>
      </c>
      <c r="SW23" s="28">
        <v>25</v>
      </c>
      <c r="SX23" s="28">
        <v>23</v>
      </c>
      <c r="SY23" s="29">
        <v>49</v>
      </c>
      <c r="SZ23" s="30">
        <v>75</v>
      </c>
      <c r="TA23" s="31">
        <v>28</v>
      </c>
      <c r="TB23" s="31">
        <v>99</v>
      </c>
    </row>
    <row r="24" spans="1:522" ht="15.75" customHeight="1" x14ac:dyDescent="0.2">
      <c r="A24" s="17">
        <v>10024</v>
      </c>
      <c r="B24" s="17" t="s">
        <v>501</v>
      </c>
      <c r="C24" s="17" t="s">
        <v>502</v>
      </c>
      <c r="D24" s="17" t="s">
        <v>503</v>
      </c>
      <c r="E24" s="17" t="s">
        <v>504</v>
      </c>
      <c r="F24" s="18">
        <v>38001</v>
      </c>
      <c r="G24" s="18">
        <v>38520</v>
      </c>
      <c r="H24" s="14">
        <f t="shared" si="2"/>
        <v>17</v>
      </c>
      <c r="I24" s="17" t="s">
        <v>505</v>
      </c>
      <c r="J24" s="17">
        <v>1</v>
      </c>
      <c r="K24" s="17">
        <v>1</v>
      </c>
      <c r="L24" s="17">
        <v>1</v>
      </c>
      <c r="M24" s="17">
        <v>1</v>
      </c>
      <c r="N24" s="17"/>
      <c r="O24" s="17">
        <v>1</v>
      </c>
      <c r="P24" s="17"/>
      <c r="Q24" s="17">
        <v>1</v>
      </c>
      <c r="R24" s="17">
        <v>1</v>
      </c>
      <c r="S24" s="17"/>
      <c r="T24" s="17">
        <v>1</v>
      </c>
      <c r="U24" s="17">
        <v>1</v>
      </c>
      <c r="V24" s="17">
        <v>1</v>
      </c>
      <c r="W24" s="17"/>
      <c r="X24" s="17"/>
      <c r="Y24" s="17">
        <v>1</v>
      </c>
      <c r="Z24" s="17">
        <v>1</v>
      </c>
      <c r="AA24" s="17">
        <v>1</v>
      </c>
      <c r="AB24" s="17">
        <v>1</v>
      </c>
      <c r="AC24" s="17">
        <v>1</v>
      </c>
      <c r="AD24" s="17"/>
      <c r="AE24" s="17">
        <v>1</v>
      </c>
      <c r="AF24" s="17">
        <v>1</v>
      </c>
      <c r="AG24" s="17">
        <v>1</v>
      </c>
      <c r="AH24" s="17">
        <v>1</v>
      </c>
      <c r="AI24" s="17"/>
      <c r="AJ24" s="17"/>
      <c r="AK24" s="17">
        <v>1</v>
      </c>
      <c r="AL24" s="17">
        <v>1</v>
      </c>
      <c r="AM24" s="17"/>
      <c r="AN24" s="17">
        <v>1</v>
      </c>
      <c r="AO24" s="17" t="s">
        <v>506</v>
      </c>
      <c r="AP24" s="17" t="s">
        <v>506</v>
      </c>
      <c r="AQ24" s="17"/>
      <c r="AR24" s="17">
        <v>2</v>
      </c>
      <c r="AS24" s="17"/>
      <c r="AT24" s="17">
        <v>2</v>
      </c>
      <c r="AU24" s="17">
        <v>2</v>
      </c>
      <c r="AV24" s="17">
        <v>2</v>
      </c>
      <c r="AW24" s="17">
        <v>2</v>
      </c>
      <c r="AX24" s="17">
        <v>2</v>
      </c>
      <c r="AY24" s="17">
        <v>2</v>
      </c>
      <c r="AZ24" s="17">
        <v>2</v>
      </c>
      <c r="BA24" s="17">
        <v>2</v>
      </c>
      <c r="BB24" s="17">
        <v>2</v>
      </c>
      <c r="BC24" s="17"/>
      <c r="BD24" s="17">
        <v>1</v>
      </c>
      <c r="BE24" s="17">
        <v>2</v>
      </c>
      <c r="BF24" s="17">
        <v>2</v>
      </c>
      <c r="BG24" s="17">
        <v>2</v>
      </c>
      <c r="BH24" s="17">
        <v>1</v>
      </c>
      <c r="BI24" s="17">
        <v>1</v>
      </c>
      <c r="BJ24" s="17">
        <v>2</v>
      </c>
      <c r="BK24" s="17">
        <v>1</v>
      </c>
      <c r="BL24" s="17">
        <v>2</v>
      </c>
      <c r="BM24" s="17"/>
      <c r="BN24" s="17">
        <v>2</v>
      </c>
      <c r="BO24" s="17"/>
      <c r="BP24" s="17">
        <v>2</v>
      </c>
      <c r="BQ24" s="17">
        <v>2</v>
      </c>
      <c r="BR24" s="17">
        <v>2</v>
      </c>
      <c r="BS24" s="17">
        <v>1</v>
      </c>
      <c r="BT24" s="17"/>
      <c r="BU24" s="17"/>
      <c r="BV24" s="17">
        <v>2</v>
      </c>
      <c r="BW24" s="17">
        <v>2</v>
      </c>
      <c r="BX24" s="17"/>
      <c r="BY24" s="17">
        <v>2</v>
      </c>
      <c r="BZ24" s="17">
        <v>2</v>
      </c>
      <c r="CA24" s="17"/>
      <c r="CB24" s="17">
        <v>1</v>
      </c>
      <c r="CC24" s="17"/>
      <c r="CD24" s="17"/>
      <c r="CE24" s="17"/>
      <c r="CF24" s="17">
        <v>2</v>
      </c>
      <c r="CG24" s="17">
        <v>2</v>
      </c>
      <c r="CH24" s="17">
        <v>2</v>
      </c>
      <c r="CI24" s="17">
        <v>1</v>
      </c>
      <c r="CJ24" s="17">
        <v>2</v>
      </c>
      <c r="CK24" s="17"/>
      <c r="CL24" s="17">
        <v>2</v>
      </c>
      <c r="CM24" s="17">
        <v>2</v>
      </c>
      <c r="CN24" s="17">
        <v>2</v>
      </c>
      <c r="CO24" s="17">
        <v>2</v>
      </c>
      <c r="CP24" s="17">
        <v>2</v>
      </c>
      <c r="CQ24" s="17">
        <v>2</v>
      </c>
      <c r="CR24" s="17">
        <v>1</v>
      </c>
      <c r="CS24" s="17">
        <v>1</v>
      </c>
      <c r="CT24" s="17">
        <v>1</v>
      </c>
      <c r="CU24" s="17">
        <v>2</v>
      </c>
      <c r="CV24" s="17">
        <v>2</v>
      </c>
      <c r="CW24" s="17">
        <v>2</v>
      </c>
      <c r="CX24" s="17">
        <v>2</v>
      </c>
      <c r="CY24" s="17">
        <v>2</v>
      </c>
      <c r="CZ24" s="17">
        <v>2</v>
      </c>
      <c r="DA24" s="17"/>
      <c r="DB24" s="17"/>
      <c r="DC24" s="17">
        <v>2</v>
      </c>
      <c r="DD24" s="17">
        <v>2</v>
      </c>
      <c r="DE24" s="17">
        <v>2</v>
      </c>
      <c r="DF24" s="17">
        <v>2</v>
      </c>
      <c r="DG24" s="17"/>
      <c r="DH24" s="17"/>
      <c r="DI24" s="17"/>
      <c r="DJ24" s="17">
        <v>1</v>
      </c>
      <c r="DK24" s="17">
        <v>1</v>
      </c>
      <c r="DL24" s="17">
        <v>2</v>
      </c>
      <c r="DM24" s="17">
        <v>2</v>
      </c>
      <c r="DN24" s="17">
        <v>1</v>
      </c>
      <c r="DO24" s="17"/>
      <c r="DP24" s="17">
        <v>2</v>
      </c>
      <c r="DQ24" s="17">
        <v>2</v>
      </c>
      <c r="DR24" s="17">
        <v>1</v>
      </c>
      <c r="DS24" s="17">
        <v>1</v>
      </c>
      <c r="DT24" s="17"/>
      <c r="DU24" s="17">
        <v>2</v>
      </c>
      <c r="DV24" s="17"/>
      <c r="DW24" s="17">
        <v>1</v>
      </c>
      <c r="DX24" s="17">
        <v>2</v>
      </c>
      <c r="DY24" s="17">
        <v>2</v>
      </c>
      <c r="DZ24" s="17">
        <v>2</v>
      </c>
      <c r="EA24" s="17"/>
      <c r="EB24" s="17">
        <v>2</v>
      </c>
      <c r="EC24" s="17"/>
      <c r="ED24" s="17"/>
      <c r="EE24" s="17"/>
      <c r="EF24" s="17"/>
      <c r="EG24" s="17">
        <v>2</v>
      </c>
      <c r="EH24" s="17"/>
      <c r="EI24" s="17">
        <v>1</v>
      </c>
      <c r="EJ24" s="17"/>
      <c r="EK24" s="17"/>
      <c r="EL24" s="17"/>
      <c r="EM24" s="17">
        <v>1</v>
      </c>
      <c r="EN24" s="17"/>
      <c r="EO24" s="17">
        <v>2</v>
      </c>
      <c r="EP24" s="17">
        <v>1</v>
      </c>
      <c r="EQ24" s="17"/>
      <c r="ER24" s="17"/>
      <c r="ES24" s="17">
        <v>1</v>
      </c>
      <c r="ET24" s="17">
        <v>1</v>
      </c>
      <c r="EU24" s="17">
        <v>2</v>
      </c>
      <c r="EV24" s="17">
        <v>2</v>
      </c>
      <c r="EW24" s="17"/>
      <c r="EX24" s="17">
        <v>2</v>
      </c>
      <c r="EY24" s="17"/>
      <c r="EZ24" s="17"/>
      <c r="FA24" s="17">
        <v>1</v>
      </c>
      <c r="FB24" s="17"/>
      <c r="FC24" s="17"/>
      <c r="FD24" s="17">
        <v>2</v>
      </c>
      <c r="FE24" s="17">
        <v>2</v>
      </c>
      <c r="FF24" s="17">
        <v>2</v>
      </c>
      <c r="FG24" s="17">
        <v>1</v>
      </c>
      <c r="FH24" s="17">
        <v>1</v>
      </c>
      <c r="FI24" s="17">
        <v>2</v>
      </c>
      <c r="FJ24" s="17">
        <v>1</v>
      </c>
      <c r="FK24" s="17">
        <v>1</v>
      </c>
      <c r="FL24" s="17"/>
      <c r="FM24" s="17"/>
      <c r="FN24" s="17">
        <v>2</v>
      </c>
      <c r="FO24" s="17">
        <v>1</v>
      </c>
      <c r="FP24" s="17"/>
      <c r="FQ24" s="17">
        <v>2</v>
      </c>
      <c r="FR24" s="17"/>
      <c r="FS24" s="17">
        <v>1</v>
      </c>
      <c r="FT24" s="17">
        <v>1</v>
      </c>
      <c r="FU24" s="17">
        <v>2</v>
      </c>
      <c r="FV24" s="17">
        <v>2</v>
      </c>
      <c r="FW24" s="17">
        <v>1</v>
      </c>
      <c r="FX24" s="17">
        <v>2</v>
      </c>
      <c r="FY24" s="17"/>
      <c r="FZ24" s="17">
        <v>1</v>
      </c>
      <c r="GA24" s="17"/>
      <c r="GB24" s="17">
        <v>1</v>
      </c>
      <c r="GC24" s="17">
        <v>1</v>
      </c>
      <c r="GD24" s="17"/>
      <c r="GE24" s="17">
        <v>1</v>
      </c>
      <c r="GF24" s="17"/>
      <c r="GG24" s="17">
        <v>1</v>
      </c>
      <c r="GH24" s="17"/>
      <c r="GI24" s="17">
        <v>2</v>
      </c>
      <c r="GJ24" s="17"/>
      <c r="GK24" s="17">
        <v>2</v>
      </c>
      <c r="GL24" s="17"/>
      <c r="GM24" s="17">
        <v>1</v>
      </c>
      <c r="GN24" s="17">
        <v>1</v>
      </c>
      <c r="GO24" s="17"/>
      <c r="GP24" s="17">
        <v>1</v>
      </c>
      <c r="GQ24" s="17"/>
      <c r="GR24" s="17">
        <v>1</v>
      </c>
      <c r="GS24" s="17"/>
      <c r="GT24" s="17"/>
      <c r="GU24" s="17"/>
      <c r="GV24" s="17"/>
      <c r="GW24" s="17"/>
      <c r="GX24" s="17">
        <v>1</v>
      </c>
      <c r="GY24" s="17">
        <v>1</v>
      </c>
      <c r="GZ24" s="17">
        <v>1</v>
      </c>
      <c r="HA24" s="17">
        <v>1</v>
      </c>
      <c r="HB24" s="17">
        <v>1</v>
      </c>
      <c r="HC24" s="17"/>
      <c r="HD24" s="17">
        <v>2</v>
      </c>
      <c r="HE24" s="17">
        <v>1</v>
      </c>
      <c r="HF24" s="17">
        <v>2</v>
      </c>
      <c r="HG24" s="17">
        <v>1</v>
      </c>
      <c r="HH24" s="17"/>
      <c r="HI24" s="17">
        <v>1</v>
      </c>
      <c r="HJ24" s="17"/>
      <c r="HK24" s="17">
        <v>1</v>
      </c>
      <c r="HL24" s="17">
        <v>2</v>
      </c>
      <c r="HM24" s="17"/>
      <c r="HN24" s="17"/>
      <c r="HO24" s="17">
        <v>1</v>
      </c>
      <c r="HP24" s="17">
        <v>1</v>
      </c>
      <c r="HQ24" s="17"/>
      <c r="HR24" s="17"/>
      <c r="HS24" s="17"/>
      <c r="HT24" s="17"/>
      <c r="HU24" s="17">
        <v>1</v>
      </c>
      <c r="HV24" s="17"/>
      <c r="HW24" s="17"/>
      <c r="HX24" s="17">
        <v>1</v>
      </c>
      <c r="HY24" s="17"/>
      <c r="HZ24" s="17">
        <v>1</v>
      </c>
      <c r="IA24" s="17">
        <v>2</v>
      </c>
      <c r="IB24" s="17">
        <v>1</v>
      </c>
      <c r="IC24" s="17"/>
      <c r="ID24" s="17"/>
      <c r="IE24" s="17"/>
      <c r="IF24" s="17">
        <v>1</v>
      </c>
      <c r="IG24" s="17"/>
      <c r="IH24" s="17">
        <v>1</v>
      </c>
      <c r="II24" s="17">
        <v>1</v>
      </c>
      <c r="IJ24" s="17">
        <v>1</v>
      </c>
      <c r="IK24" s="17"/>
      <c r="IL24" s="17">
        <v>1</v>
      </c>
      <c r="IM24" s="17"/>
      <c r="IN24" s="17">
        <v>1</v>
      </c>
      <c r="IO24" s="17"/>
      <c r="IP24" s="17">
        <v>2</v>
      </c>
      <c r="IQ24" s="17"/>
      <c r="IR24" s="17"/>
      <c r="IS24" s="17">
        <v>1</v>
      </c>
      <c r="IT24" s="17">
        <v>1</v>
      </c>
      <c r="IU24" s="17"/>
      <c r="IV24" s="17">
        <v>2</v>
      </c>
      <c r="IW24" s="17"/>
      <c r="IX24" s="17">
        <v>1</v>
      </c>
      <c r="IY24" s="17"/>
      <c r="IZ24" s="17">
        <v>2</v>
      </c>
      <c r="JA24" s="17">
        <v>2</v>
      </c>
      <c r="JB24" s="17"/>
      <c r="JC24" s="17"/>
      <c r="JD24" s="17">
        <v>1</v>
      </c>
      <c r="JE24" s="17">
        <v>2</v>
      </c>
      <c r="JF24" s="17"/>
      <c r="JG24" s="17"/>
      <c r="JH24" s="17">
        <v>1</v>
      </c>
      <c r="JI24" s="17"/>
      <c r="JJ24" s="17"/>
      <c r="JK24" s="17">
        <v>2</v>
      </c>
      <c r="JL24" s="17">
        <v>1</v>
      </c>
      <c r="JM24" s="17">
        <v>1</v>
      </c>
      <c r="JN24" s="17">
        <v>2</v>
      </c>
      <c r="JO24" s="17"/>
      <c r="JP24" s="17"/>
      <c r="JQ24" s="17">
        <v>2</v>
      </c>
      <c r="JR24" s="17">
        <v>1</v>
      </c>
      <c r="JS24" s="17"/>
      <c r="JT24" s="17"/>
      <c r="JU24" s="17"/>
      <c r="JV24" s="17">
        <v>1</v>
      </c>
      <c r="JW24" s="17"/>
      <c r="JX24" s="17">
        <v>2</v>
      </c>
      <c r="JY24" s="17">
        <v>1</v>
      </c>
      <c r="JZ24" s="17">
        <v>2</v>
      </c>
      <c r="KA24" s="17">
        <v>1</v>
      </c>
      <c r="KB24" s="17">
        <v>1</v>
      </c>
      <c r="KC24" s="17">
        <v>1</v>
      </c>
      <c r="KD24" s="17">
        <v>2</v>
      </c>
      <c r="KE24" s="17">
        <v>1</v>
      </c>
      <c r="KF24" s="17">
        <v>1</v>
      </c>
      <c r="KG24" s="17">
        <v>1</v>
      </c>
      <c r="KH24" s="17">
        <v>1</v>
      </c>
      <c r="KI24" s="17"/>
      <c r="KJ24" s="17">
        <v>1</v>
      </c>
      <c r="KK24" s="17">
        <v>2</v>
      </c>
      <c r="KL24" s="17">
        <v>1</v>
      </c>
      <c r="KM24" s="17">
        <v>1</v>
      </c>
      <c r="KN24" s="17">
        <v>1</v>
      </c>
      <c r="KO24" s="17">
        <v>2</v>
      </c>
      <c r="KP24" s="17">
        <v>2</v>
      </c>
      <c r="KQ24" s="17">
        <v>2</v>
      </c>
      <c r="KR24" s="17">
        <v>1</v>
      </c>
      <c r="KS24" s="17"/>
      <c r="KT24" s="17">
        <v>1</v>
      </c>
      <c r="KU24" s="17">
        <v>1</v>
      </c>
      <c r="KV24" s="17"/>
      <c r="KW24" s="17">
        <v>1</v>
      </c>
      <c r="KX24" s="17"/>
      <c r="KY24" s="17">
        <v>1</v>
      </c>
      <c r="KZ24" s="17"/>
      <c r="LA24" s="17">
        <v>1</v>
      </c>
      <c r="LB24" s="17"/>
      <c r="LC24" s="17">
        <v>2</v>
      </c>
      <c r="LD24" s="17"/>
      <c r="LE24" s="17"/>
      <c r="LF24" s="17"/>
      <c r="LG24" s="17">
        <v>1</v>
      </c>
      <c r="LH24" s="17">
        <v>1</v>
      </c>
      <c r="LI24" s="17">
        <v>2</v>
      </c>
      <c r="LJ24" s="17"/>
      <c r="LK24" s="17">
        <v>1</v>
      </c>
      <c r="LL24" s="17">
        <v>2</v>
      </c>
      <c r="LM24" s="17"/>
      <c r="LN24" s="17">
        <v>1</v>
      </c>
      <c r="LO24" s="17">
        <v>2</v>
      </c>
      <c r="LP24" s="17">
        <v>1</v>
      </c>
      <c r="LQ24" s="17">
        <v>1</v>
      </c>
      <c r="LR24" s="17"/>
      <c r="LS24" s="17">
        <v>1</v>
      </c>
      <c r="LT24" s="17">
        <v>1</v>
      </c>
      <c r="LU24" s="17"/>
      <c r="LV24" s="17"/>
      <c r="LW24" s="17">
        <v>1</v>
      </c>
      <c r="LX24" s="17">
        <v>1</v>
      </c>
      <c r="LY24" s="17">
        <v>1</v>
      </c>
      <c r="LZ24" s="17">
        <v>1</v>
      </c>
      <c r="MA24" s="17">
        <v>1</v>
      </c>
      <c r="MB24" s="17">
        <v>1</v>
      </c>
      <c r="MC24" s="17">
        <v>1</v>
      </c>
      <c r="MD24" s="17">
        <v>1</v>
      </c>
      <c r="ME24" s="17">
        <v>1</v>
      </c>
      <c r="MF24" s="17"/>
      <c r="MG24" s="17">
        <v>1</v>
      </c>
      <c r="MH24" s="17">
        <v>1</v>
      </c>
      <c r="MI24" s="17">
        <v>1</v>
      </c>
      <c r="MJ24" s="17"/>
      <c r="MK24" s="17"/>
      <c r="ML24" s="17">
        <v>1</v>
      </c>
      <c r="MM24" s="17">
        <v>1</v>
      </c>
      <c r="MN24" s="17">
        <v>1</v>
      </c>
      <c r="MO24" s="17"/>
      <c r="MP24" s="17">
        <v>1</v>
      </c>
      <c r="MQ24" s="17">
        <v>1</v>
      </c>
      <c r="MR24" s="17"/>
      <c r="MS24" s="17"/>
      <c r="MT24" s="17"/>
      <c r="MU24" s="17"/>
      <c r="MV24" s="17">
        <v>1</v>
      </c>
      <c r="MW24" s="17"/>
      <c r="MX24" s="17"/>
      <c r="MY24" s="17"/>
      <c r="MZ24" s="17"/>
      <c r="NA24" s="17"/>
      <c r="NB24" s="17">
        <v>1</v>
      </c>
      <c r="NC24" s="17"/>
      <c r="ND24" s="17"/>
      <c r="NE24" s="17"/>
      <c r="NF24" s="17">
        <v>1</v>
      </c>
      <c r="NG24" s="17"/>
      <c r="NH24" s="17">
        <v>1</v>
      </c>
      <c r="NI24" s="17"/>
      <c r="NJ24" s="17">
        <v>2</v>
      </c>
      <c r="NK24" s="17"/>
      <c r="NL24" s="17"/>
      <c r="NM24" s="17"/>
      <c r="NN24" s="17"/>
      <c r="NO24" s="17">
        <v>1</v>
      </c>
      <c r="NP24" s="17"/>
      <c r="NQ24" s="17"/>
      <c r="NR24" s="17">
        <v>1</v>
      </c>
      <c r="NS24" s="17">
        <v>1</v>
      </c>
      <c r="NT24" s="17">
        <v>2</v>
      </c>
      <c r="NU24" s="17"/>
      <c r="NV24" s="17">
        <v>2</v>
      </c>
      <c r="NW24" s="17">
        <v>1</v>
      </c>
      <c r="NX24" s="17"/>
      <c r="NY24" s="17"/>
      <c r="NZ24" s="17"/>
      <c r="OA24" s="17"/>
      <c r="OB24" s="17"/>
      <c r="OC24" s="17"/>
      <c r="OD24" s="17">
        <v>1</v>
      </c>
      <c r="OE24" s="17"/>
      <c r="OF24" s="17"/>
      <c r="OG24" s="17">
        <v>1</v>
      </c>
      <c r="OH24" s="17"/>
      <c r="OI24" s="17"/>
      <c r="OJ24" s="17">
        <v>1</v>
      </c>
      <c r="OK24" s="17">
        <v>1</v>
      </c>
      <c r="OL24" s="17">
        <v>2</v>
      </c>
      <c r="OM24" s="17"/>
      <c r="ON24" s="17"/>
      <c r="OO24" s="17">
        <v>1</v>
      </c>
      <c r="OP24" s="17"/>
      <c r="OQ24" s="17"/>
      <c r="OR24" s="17">
        <v>2</v>
      </c>
      <c r="OS24" s="17">
        <v>2</v>
      </c>
      <c r="OT24" s="17">
        <v>1</v>
      </c>
      <c r="OU24" s="17">
        <v>2</v>
      </c>
      <c r="OV24" s="17"/>
      <c r="OW24" s="17"/>
      <c r="OX24" s="17"/>
      <c r="OY24" s="17">
        <v>1</v>
      </c>
      <c r="OZ24" s="17"/>
      <c r="PA24" s="17">
        <v>1</v>
      </c>
      <c r="PB24" s="17">
        <v>1</v>
      </c>
      <c r="PC24" s="17"/>
      <c r="PD24" s="17"/>
      <c r="PE24" s="17"/>
      <c r="PF24" s="17">
        <v>1</v>
      </c>
      <c r="PG24" s="17">
        <v>1</v>
      </c>
      <c r="PH24" s="17">
        <v>1</v>
      </c>
      <c r="PI24" s="17">
        <v>1</v>
      </c>
      <c r="PJ24" s="17">
        <v>1</v>
      </c>
      <c r="PK24" s="17">
        <v>1</v>
      </c>
      <c r="PL24" s="17"/>
      <c r="PM24" s="17"/>
      <c r="PN24" s="17">
        <v>2</v>
      </c>
      <c r="PO24" s="17"/>
      <c r="PP24" s="17"/>
      <c r="PQ24" s="17">
        <v>1</v>
      </c>
      <c r="PR24" s="17"/>
      <c r="PS24" s="17"/>
      <c r="PT24" s="17"/>
      <c r="PU24" s="17"/>
      <c r="PV24" s="17"/>
      <c r="PW24" s="17" t="s">
        <v>506</v>
      </c>
      <c r="PX24" s="17" t="s">
        <v>506</v>
      </c>
      <c r="PY24" s="17" t="s">
        <v>506</v>
      </c>
      <c r="PZ24" s="17" t="s">
        <v>506</v>
      </c>
      <c r="QA24" s="17" t="s">
        <v>506</v>
      </c>
      <c r="QB24" s="17" t="s">
        <v>507</v>
      </c>
      <c r="QC24" s="17" t="s">
        <v>508</v>
      </c>
      <c r="QD24" s="17" t="s">
        <v>508</v>
      </c>
      <c r="QE24" s="17" t="s">
        <v>507</v>
      </c>
      <c r="QF24" s="17" t="s">
        <v>508</v>
      </c>
      <c r="QG24" s="17" t="s">
        <v>507</v>
      </c>
      <c r="QH24" s="17" t="s">
        <v>507</v>
      </c>
      <c r="QI24" s="17">
        <v>1</v>
      </c>
      <c r="QJ24" s="17">
        <v>0</v>
      </c>
      <c r="QK24" s="17">
        <v>0</v>
      </c>
      <c r="QL24" s="17">
        <v>1</v>
      </c>
      <c r="QM24" s="17">
        <v>0</v>
      </c>
      <c r="QN24" s="17">
        <v>1</v>
      </c>
      <c r="QO24" s="17">
        <v>1</v>
      </c>
      <c r="QP24" s="17">
        <v>1</v>
      </c>
      <c r="QQ24" s="17">
        <v>1</v>
      </c>
      <c r="QR24" s="17">
        <v>1</v>
      </c>
      <c r="QS24" s="17">
        <v>0</v>
      </c>
      <c r="QT24" s="17">
        <v>0</v>
      </c>
      <c r="QU24" s="17">
        <v>0</v>
      </c>
      <c r="QV24" s="17">
        <v>0</v>
      </c>
      <c r="QW24" s="17">
        <v>1</v>
      </c>
      <c r="QX24" s="17">
        <v>0</v>
      </c>
      <c r="QY24" s="17">
        <v>1</v>
      </c>
      <c r="QZ24" s="17">
        <v>1</v>
      </c>
      <c r="RA24" s="17">
        <v>1</v>
      </c>
      <c r="RB24" s="17">
        <v>1</v>
      </c>
      <c r="RC24" s="17">
        <v>1</v>
      </c>
      <c r="RD24" s="17">
        <v>0</v>
      </c>
      <c r="RE24" s="17">
        <v>0</v>
      </c>
      <c r="RF24" s="17">
        <v>0</v>
      </c>
      <c r="RG24" s="17">
        <v>0</v>
      </c>
      <c r="RH24" s="17">
        <v>0</v>
      </c>
      <c r="RI24" s="17">
        <v>0</v>
      </c>
      <c r="RJ24" s="17">
        <v>0</v>
      </c>
      <c r="RK24" s="17">
        <v>0</v>
      </c>
      <c r="RL24" s="17">
        <v>0</v>
      </c>
      <c r="RM24" s="17">
        <v>0</v>
      </c>
      <c r="RN24" s="17">
        <v>1</v>
      </c>
      <c r="RO24" s="17">
        <v>0</v>
      </c>
      <c r="RP24" s="17">
        <v>0</v>
      </c>
      <c r="RQ24" s="17">
        <v>1</v>
      </c>
      <c r="RR24" s="17">
        <v>0</v>
      </c>
      <c r="RS24" s="17">
        <v>0</v>
      </c>
      <c r="RT24" s="17">
        <v>0</v>
      </c>
      <c r="RU24" s="17">
        <v>1</v>
      </c>
      <c r="RV24" s="17">
        <v>0</v>
      </c>
      <c r="RW24" s="17">
        <v>1</v>
      </c>
      <c r="RX24" s="17">
        <v>1</v>
      </c>
      <c r="RY24" s="17">
        <v>0</v>
      </c>
      <c r="RZ24" s="17">
        <v>0</v>
      </c>
      <c r="SA24" s="17">
        <v>1</v>
      </c>
      <c r="SB24" s="17">
        <v>1</v>
      </c>
      <c r="SC24" s="17">
        <v>0</v>
      </c>
      <c r="SD24" s="17">
        <v>0</v>
      </c>
      <c r="SE24" s="17">
        <v>0</v>
      </c>
      <c r="SF24" s="17">
        <v>1</v>
      </c>
      <c r="SG24" s="17">
        <v>0</v>
      </c>
      <c r="SH24" s="17">
        <v>0</v>
      </c>
      <c r="SI24" s="17">
        <v>10024</v>
      </c>
      <c r="SJ24" s="19">
        <f t="shared" si="3"/>
        <v>136</v>
      </c>
      <c r="SK24" s="19">
        <f t="shared" si="0"/>
        <v>235</v>
      </c>
      <c r="SL24" s="19">
        <f t="shared" si="1"/>
        <v>99</v>
      </c>
      <c r="SM24" s="9">
        <v>10024</v>
      </c>
      <c r="SN24" s="9" t="s">
        <v>504</v>
      </c>
      <c r="SO24" s="10">
        <v>1</v>
      </c>
      <c r="SP24" s="9">
        <v>3</v>
      </c>
      <c r="SQ24" s="13" t="s">
        <v>517</v>
      </c>
      <c r="SR24" s="9">
        <v>18</v>
      </c>
      <c r="SS24" s="28" t="s">
        <v>563</v>
      </c>
      <c r="ST24" s="28">
        <v>17</v>
      </c>
      <c r="SU24" s="28">
        <v>236</v>
      </c>
      <c r="SV24" s="28">
        <v>63</v>
      </c>
      <c r="SW24" s="28">
        <v>101</v>
      </c>
      <c r="SX24" s="28">
        <v>84</v>
      </c>
      <c r="SY24" s="29">
        <v>30</v>
      </c>
      <c r="SZ24" s="30">
        <v>9</v>
      </c>
      <c r="TA24" s="31">
        <v>19</v>
      </c>
      <c r="TB24" s="31">
        <v>28</v>
      </c>
    </row>
    <row r="25" spans="1:522" ht="15.75" customHeight="1" x14ac:dyDescent="0.2">
      <c r="A25" s="17">
        <v>10025</v>
      </c>
      <c r="B25" s="17" t="s">
        <v>501</v>
      </c>
      <c r="C25" s="17" t="s">
        <v>502</v>
      </c>
      <c r="D25" s="17" t="s">
        <v>503</v>
      </c>
      <c r="E25" s="17" t="s">
        <v>509</v>
      </c>
      <c r="F25" s="18">
        <v>37995</v>
      </c>
      <c r="G25" s="18">
        <v>38472</v>
      </c>
      <c r="H25" s="14">
        <f t="shared" si="2"/>
        <v>15</v>
      </c>
      <c r="I25" s="17" t="s">
        <v>505</v>
      </c>
      <c r="J25" s="17">
        <v>1</v>
      </c>
      <c r="K25" s="17">
        <v>1</v>
      </c>
      <c r="L25" s="17">
        <v>1</v>
      </c>
      <c r="M25" s="17"/>
      <c r="N25" s="17"/>
      <c r="O25" s="17">
        <v>1</v>
      </c>
      <c r="P25" s="17"/>
      <c r="Q25" s="17">
        <v>1</v>
      </c>
      <c r="R25" s="17"/>
      <c r="S25" s="17">
        <v>1</v>
      </c>
      <c r="T25" s="17">
        <v>1</v>
      </c>
      <c r="U25" s="17">
        <v>1</v>
      </c>
      <c r="V25" s="17">
        <v>1</v>
      </c>
      <c r="W25" s="17">
        <v>1</v>
      </c>
      <c r="X25" s="17">
        <v>1</v>
      </c>
      <c r="Y25" s="17">
        <v>1</v>
      </c>
      <c r="Z25" s="17"/>
      <c r="AA25" s="17"/>
      <c r="AB25" s="17">
        <v>1</v>
      </c>
      <c r="AC25" s="17">
        <v>1</v>
      </c>
      <c r="AD25" s="17"/>
      <c r="AE25" s="17">
        <v>1</v>
      </c>
      <c r="AF25" s="17">
        <v>1</v>
      </c>
      <c r="AG25" s="17"/>
      <c r="AH25" s="17">
        <v>1</v>
      </c>
      <c r="AI25" s="17"/>
      <c r="AJ25" s="17">
        <v>1</v>
      </c>
      <c r="AK25" s="17">
        <v>1</v>
      </c>
      <c r="AL25" s="17">
        <v>1</v>
      </c>
      <c r="AM25" s="17"/>
      <c r="AN25" s="17">
        <v>1</v>
      </c>
      <c r="AO25" s="17" t="s">
        <v>507</v>
      </c>
      <c r="AP25" s="17" t="s">
        <v>507</v>
      </c>
      <c r="AQ25" s="17">
        <v>2</v>
      </c>
      <c r="AR25" s="17">
        <v>1</v>
      </c>
      <c r="AS25" s="17">
        <v>1</v>
      </c>
      <c r="AT25" s="17">
        <v>2</v>
      </c>
      <c r="AU25" s="17">
        <v>2</v>
      </c>
      <c r="AV25" s="17">
        <v>2</v>
      </c>
      <c r="AW25" s="17">
        <v>2</v>
      </c>
      <c r="AX25" s="17">
        <v>2</v>
      </c>
      <c r="AY25" s="17">
        <v>2</v>
      </c>
      <c r="AZ25" s="17">
        <v>1</v>
      </c>
      <c r="BA25" s="17">
        <v>2</v>
      </c>
      <c r="BB25" s="17">
        <v>1</v>
      </c>
      <c r="BC25" s="17">
        <v>1</v>
      </c>
      <c r="BD25" s="17">
        <v>1</v>
      </c>
      <c r="BE25" s="17">
        <v>1</v>
      </c>
      <c r="BF25" s="17">
        <v>2</v>
      </c>
      <c r="BG25" s="17">
        <v>1</v>
      </c>
      <c r="BH25" s="17">
        <v>2</v>
      </c>
      <c r="BI25" s="17">
        <v>2</v>
      </c>
      <c r="BJ25" s="17">
        <v>2</v>
      </c>
      <c r="BK25" s="17">
        <v>1</v>
      </c>
      <c r="BL25" s="17">
        <v>1</v>
      </c>
      <c r="BM25" s="17"/>
      <c r="BN25" s="17">
        <v>2</v>
      </c>
      <c r="BO25" s="17"/>
      <c r="BP25" s="17">
        <v>2</v>
      </c>
      <c r="BQ25" s="17">
        <v>1</v>
      </c>
      <c r="BR25" s="17">
        <v>2</v>
      </c>
      <c r="BS25" s="17">
        <v>1</v>
      </c>
      <c r="BT25" s="17">
        <v>1</v>
      </c>
      <c r="BU25" s="17"/>
      <c r="BV25" s="17">
        <v>2</v>
      </c>
      <c r="BW25" s="17">
        <v>1</v>
      </c>
      <c r="BX25" s="17">
        <v>1</v>
      </c>
      <c r="BY25" s="17">
        <v>1</v>
      </c>
      <c r="BZ25" s="17">
        <v>1</v>
      </c>
      <c r="CA25" s="17">
        <v>1</v>
      </c>
      <c r="CB25" s="17">
        <v>1</v>
      </c>
      <c r="CC25" s="17">
        <v>1</v>
      </c>
      <c r="CD25" s="17">
        <v>2</v>
      </c>
      <c r="CE25" s="17">
        <v>1</v>
      </c>
      <c r="CF25" s="17">
        <v>1</v>
      </c>
      <c r="CG25" s="17">
        <v>1</v>
      </c>
      <c r="CH25" s="17">
        <v>2</v>
      </c>
      <c r="CI25" s="17">
        <v>2</v>
      </c>
      <c r="CJ25" s="17">
        <v>1</v>
      </c>
      <c r="CK25" s="17">
        <v>1</v>
      </c>
      <c r="CL25" s="17">
        <v>1</v>
      </c>
      <c r="CM25" s="17">
        <v>1</v>
      </c>
      <c r="CN25" s="17">
        <v>1</v>
      </c>
      <c r="CO25" s="17"/>
      <c r="CP25" s="17">
        <v>1</v>
      </c>
      <c r="CQ25" s="17">
        <v>1</v>
      </c>
      <c r="CR25" s="17">
        <v>1</v>
      </c>
      <c r="CS25" s="17">
        <v>1</v>
      </c>
      <c r="CT25" s="17">
        <v>1</v>
      </c>
      <c r="CU25" s="17">
        <v>1</v>
      </c>
      <c r="CV25" s="17">
        <v>2</v>
      </c>
      <c r="CW25" s="17">
        <v>2</v>
      </c>
      <c r="CX25" s="17">
        <v>1</v>
      </c>
      <c r="CY25" s="17">
        <v>2</v>
      </c>
      <c r="CZ25" s="17">
        <v>2</v>
      </c>
      <c r="DA25" s="17">
        <v>2</v>
      </c>
      <c r="DB25" s="17">
        <v>1</v>
      </c>
      <c r="DC25" s="17">
        <v>1</v>
      </c>
      <c r="DD25" s="17">
        <v>1</v>
      </c>
      <c r="DE25" s="17">
        <v>2</v>
      </c>
      <c r="DF25" s="17">
        <v>1</v>
      </c>
      <c r="DG25" s="17"/>
      <c r="DH25" s="17"/>
      <c r="DI25" s="17"/>
      <c r="DJ25" s="17">
        <v>1</v>
      </c>
      <c r="DK25" s="17">
        <v>1</v>
      </c>
      <c r="DL25" s="17">
        <v>1</v>
      </c>
      <c r="DM25" s="17">
        <v>2</v>
      </c>
      <c r="DN25" s="17">
        <v>1</v>
      </c>
      <c r="DO25" s="17"/>
      <c r="DP25" s="17">
        <v>1</v>
      </c>
      <c r="DQ25" s="17">
        <v>2</v>
      </c>
      <c r="DR25" s="17">
        <v>2</v>
      </c>
      <c r="DS25" s="17"/>
      <c r="DT25" s="17"/>
      <c r="DU25" s="17">
        <v>1</v>
      </c>
      <c r="DV25" s="17">
        <v>1</v>
      </c>
      <c r="DW25" s="17">
        <v>1</v>
      </c>
      <c r="DX25" s="17"/>
      <c r="DY25" s="17">
        <v>1</v>
      </c>
      <c r="DZ25" s="17"/>
      <c r="EA25" s="17">
        <v>1</v>
      </c>
      <c r="EB25" s="17">
        <v>1</v>
      </c>
      <c r="EC25" s="17">
        <v>1</v>
      </c>
      <c r="ED25" s="17">
        <v>2</v>
      </c>
      <c r="EE25" s="17"/>
      <c r="EF25" s="17">
        <v>1</v>
      </c>
      <c r="EG25" s="17">
        <v>2</v>
      </c>
      <c r="EH25" s="17"/>
      <c r="EI25" s="17">
        <v>1</v>
      </c>
      <c r="EJ25" s="17"/>
      <c r="EK25" s="17">
        <v>1</v>
      </c>
      <c r="EL25" s="17">
        <v>2</v>
      </c>
      <c r="EM25" s="17">
        <v>1</v>
      </c>
      <c r="EN25" s="17">
        <v>1</v>
      </c>
      <c r="EO25" s="17">
        <v>2</v>
      </c>
      <c r="EP25" s="17">
        <v>1</v>
      </c>
      <c r="EQ25" s="17"/>
      <c r="ER25" s="17"/>
      <c r="ES25" s="17">
        <v>1</v>
      </c>
      <c r="ET25" s="17"/>
      <c r="EU25" s="17">
        <v>1</v>
      </c>
      <c r="EV25" s="17">
        <v>2</v>
      </c>
      <c r="EW25" s="17"/>
      <c r="EX25" s="17">
        <v>2</v>
      </c>
      <c r="EY25" s="17">
        <v>1</v>
      </c>
      <c r="EZ25" s="17">
        <v>1</v>
      </c>
      <c r="FA25" s="17">
        <v>1</v>
      </c>
      <c r="FB25" s="17">
        <v>1</v>
      </c>
      <c r="FC25" s="17">
        <v>1</v>
      </c>
      <c r="FD25" s="17">
        <v>1</v>
      </c>
      <c r="FE25" s="17">
        <v>1</v>
      </c>
      <c r="FF25" s="17">
        <v>1</v>
      </c>
      <c r="FG25" s="17">
        <v>2</v>
      </c>
      <c r="FH25" s="17">
        <v>1</v>
      </c>
      <c r="FI25" s="17">
        <v>1</v>
      </c>
      <c r="FJ25" s="17">
        <v>1</v>
      </c>
      <c r="FK25" s="17">
        <v>1</v>
      </c>
      <c r="FL25" s="17">
        <v>1</v>
      </c>
      <c r="FM25" s="17">
        <v>1</v>
      </c>
      <c r="FN25" s="17">
        <v>1</v>
      </c>
      <c r="FO25" s="17">
        <v>1</v>
      </c>
      <c r="FP25" s="17">
        <v>2</v>
      </c>
      <c r="FQ25" s="17">
        <v>2</v>
      </c>
      <c r="FR25" s="17">
        <v>1</v>
      </c>
      <c r="FS25" s="17">
        <v>1</v>
      </c>
      <c r="FT25" s="17">
        <v>1</v>
      </c>
      <c r="FU25" s="17">
        <v>1</v>
      </c>
      <c r="FV25" s="17"/>
      <c r="FW25" s="17">
        <v>1</v>
      </c>
      <c r="FX25" s="17"/>
      <c r="FY25" s="17">
        <v>1</v>
      </c>
      <c r="FZ25" s="17">
        <v>2</v>
      </c>
      <c r="GA25" s="17"/>
      <c r="GB25" s="17"/>
      <c r="GC25" s="17">
        <v>2</v>
      </c>
      <c r="GD25" s="17">
        <v>1</v>
      </c>
      <c r="GE25" s="17">
        <v>1</v>
      </c>
      <c r="GF25" s="17"/>
      <c r="GG25" s="17"/>
      <c r="GH25" s="17"/>
      <c r="GI25" s="17">
        <v>1</v>
      </c>
      <c r="GJ25" s="17"/>
      <c r="GK25" s="17">
        <v>1</v>
      </c>
      <c r="GL25" s="17">
        <v>1</v>
      </c>
      <c r="GM25" s="17"/>
      <c r="GN25" s="17">
        <v>1</v>
      </c>
      <c r="GO25" s="17"/>
      <c r="GP25" s="17">
        <v>1</v>
      </c>
      <c r="GQ25" s="17"/>
      <c r="GR25" s="17">
        <v>1</v>
      </c>
      <c r="GS25" s="17"/>
      <c r="GT25" s="17">
        <v>1</v>
      </c>
      <c r="GU25" s="17">
        <v>1</v>
      </c>
      <c r="GV25" s="17"/>
      <c r="GW25" s="17">
        <v>1</v>
      </c>
      <c r="GX25" s="17">
        <v>1</v>
      </c>
      <c r="GY25" s="17">
        <v>1</v>
      </c>
      <c r="GZ25" s="17">
        <v>2</v>
      </c>
      <c r="HA25" s="17">
        <v>1</v>
      </c>
      <c r="HB25" s="17">
        <v>1</v>
      </c>
      <c r="HC25" s="17">
        <v>1</v>
      </c>
      <c r="HD25" s="17">
        <v>1</v>
      </c>
      <c r="HE25" s="17">
        <v>1</v>
      </c>
      <c r="HF25" s="17">
        <v>1</v>
      </c>
      <c r="HG25" s="17">
        <v>1</v>
      </c>
      <c r="HH25" s="17">
        <v>1</v>
      </c>
      <c r="HI25" s="17">
        <v>1</v>
      </c>
      <c r="HJ25" s="17">
        <v>1</v>
      </c>
      <c r="HK25" s="17">
        <v>1</v>
      </c>
      <c r="HL25" s="17">
        <v>1</v>
      </c>
      <c r="HM25" s="17">
        <v>1</v>
      </c>
      <c r="HN25" s="17">
        <v>1</v>
      </c>
      <c r="HO25" s="17">
        <v>1</v>
      </c>
      <c r="HP25" s="17">
        <v>1</v>
      </c>
      <c r="HQ25" s="17"/>
      <c r="HR25" s="17"/>
      <c r="HS25" s="17">
        <v>1</v>
      </c>
      <c r="HT25" s="17">
        <v>1</v>
      </c>
      <c r="HU25" s="17">
        <v>1</v>
      </c>
      <c r="HV25" s="17"/>
      <c r="HW25" s="17">
        <v>1</v>
      </c>
      <c r="HX25" s="17"/>
      <c r="HY25" s="17">
        <v>1</v>
      </c>
      <c r="HZ25" s="17">
        <v>1</v>
      </c>
      <c r="IA25" s="17">
        <v>1</v>
      </c>
      <c r="IB25" s="17">
        <v>1</v>
      </c>
      <c r="IC25" s="17">
        <v>2</v>
      </c>
      <c r="ID25" s="17">
        <v>1</v>
      </c>
      <c r="IE25" s="17"/>
      <c r="IF25" s="17">
        <v>1</v>
      </c>
      <c r="IG25" s="17"/>
      <c r="IH25" s="17"/>
      <c r="II25" s="17"/>
      <c r="IJ25" s="17"/>
      <c r="IK25" s="17">
        <v>2</v>
      </c>
      <c r="IL25" s="17">
        <v>1</v>
      </c>
      <c r="IM25" s="17">
        <v>1</v>
      </c>
      <c r="IN25" s="17">
        <v>1</v>
      </c>
      <c r="IO25" s="17">
        <v>1</v>
      </c>
      <c r="IP25" s="17">
        <v>2</v>
      </c>
      <c r="IQ25" s="17">
        <v>1</v>
      </c>
      <c r="IR25" s="17">
        <v>1</v>
      </c>
      <c r="IS25" s="17">
        <v>1</v>
      </c>
      <c r="IT25" s="17">
        <v>2</v>
      </c>
      <c r="IU25" s="17"/>
      <c r="IV25" s="17"/>
      <c r="IW25" s="17">
        <v>1</v>
      </c>
      <c r="IX25" s="17">
        <v>1</v>
      </c>
      <c r="IY25" s="17">
        <v>2</v>
      </c>
      <c r="IZ25" s="17">
        <v>1</v>
      </c>
      <c r="JA25" s="17"/>
      <c r="JB25" s="17"/>
      <c r="JC25" s="17">
        <v>1</v>
      </c>
      <c r="JD25" s="17"/>
      <c r="JE25" s="17">
        <v>2</v>
      </c>
      <c r="JF25" s="17">
        <v>1</v>
      </c>
      <c r="JG25" s="17">
        <v>1</v>
      </c>
      <c r="JH25" s="17"/>
      <c r="JI25" s="17">
        <v>1</v>
      </c>
      <c r="JJ25" s="17">
        <v>1</v>
      </c>
      <c r="JK25" s="17">
        <v>2</v>
      </c>
      <c r="JL25" s="17"/>
      <c r="JM25" s="17">
        <v>1</v>
      </c>
      <c r="JN25" s="17">
        <v>1</v>
      </c>
      <c r="JO25" s="17"/>
      <c r="JP25" s="17"/>
      <c r="JQ25" s="17">
        <v>2</v>
      </c>
      <c r="JR25" s="17">
        <v>2</v>
      </c>
      <c r="JS25" s="17"/>
      <c r="JT25" s="17"/>
      <c r="JU25" s="17"/>
      <c r="JV25" s="17"/>
      <c r="JW25" s="17"/>
      <c r="JX25" s="17">
        <v>1</v>
      </c>
      <c r="JY25" s="17">
        <v>1</v>
      </c>
      <c r="JZ25" s="17"/>
      <c r="KA25" s="17">
        <v>1</v>
      </c>
      <c r="KB25" s="17">
        <v>1</v>
      </c>
      <c r="KC25" s="17">
        <v>1</v>
      </c>
      <c r="KD25" s="17">
        <v>1</v>
      </c>
      <c r="KE25" s="17">
        <v>1</v>
      </c>
      <c r="KF25" s="17">
        <v>1</v>
      </c>
      <c r="KG25" s="17">
        <v>1</v>
      </c>
      <c r="KH25" s="17">
        <v>1</v>
      </c>
      <c r="KI25" s="17"/>
      <c r="KJ25" s="17">
        <v>2</v>
      </c>
      <c r="KK25" s="17">
        <v>2</v>
      </c>
      <c r="KL25" s="17">
        <v>2</v>
      </c>
      <c r="KM25" s="17">
        <v>2</v>
      </c>
      <c r="KN25" s="17">
        <v>1</v>
      </c>
      <c r="KO25" s="17">
        <v>1</v>
      </c>
      <c r="KP25" s="17"/>
      <c r="KQ25" s="17">
        <v>1</v>
      </c>
      <c r="KR25" s="17">
        <v>1</v>
      </c>
      <c r="KS25" s="17"/>
      <c r="KT25" s="17">
        <v>1</v>
      </c>
      <c r="KU25" s="17"/>
      <c r="KV25" s="17">
        <v>1</v>
      </c>
      <c r="KW25" s="17"/>
      <c r="KX25" s="17">
        <v>1</v>
      </c>
      <c r="KY25" s="17">
        <v>1</v>
      </c>
      <c r="KZ25" s="17">
        <v>1</v>
      </c>
      <c r="LA25" s="17">
        <v>1</v>
      </c>
      <c r="LB25" s="17"/>
      <c r="LC25" s="17">
        <v>1</v>
      </c>
      <c r="LD25" s="17">
        <v>1</v>
      </c>
      <c r="LE25" s="17">
        <v>1</v>
      </c>
      <c r="LF25" s="17">
        <v>1</v>
      </c>
      <c r="LG25" s="17">
        <v>1</v>
      </c>
      <c r="LH25" s="17">
        <v>1</v>
      </c>
      <c r="LI25" s="17">
        <v>1</v>
      </c>
      <c r="LJ25" s="17">
        <v>1</v>
      </c>
      <c r="LK25" s="17">
        <v>1</v>
      </c>
      <c r="LL25" s="17">
        <v>1</v>
      </c>
      <c r="LM25" s="17"/>
      <c r="LN25" s="17">
        <v>1</v>
      </c>
      <c r="LO25" s="17">
        <v>1</v>
      </c>
      <c r="LP25" s="17">
        <v>1</v>
      </c>
      <c r="LQ25" s="17">
        <v>1</v>
      </c>
      <c r="LR25" s="17">
        <v>1</v>
      </c>
      <c r="LS25" s="17">
        <v>1</v>
      </c>
      <c r="LT25" s="17"/>
      <c r="LU25" s="17"/>
      <c r="LV25" s="17">
        <v>1</v>
      </c>
      <c r="LW25" s="17">
        <v>1</v>
      </c>
      <c r="LX25" s="17">
        <v>1</v>
      </c>
      <c r="LY25" s="17">
        <v>1</v>
      </c>
      <c r="LZ25" s="17">
        <v>1</v>
      </c>
      <c r="MA25" s="17"/>
      <c r="MB25" s="17">
        <v>1</v>
      </c>
      <c r="MC25" s="17"/>
      <c r="MD25" s="17">
        <v>1</v>
      </c>
      <c r="ME25" s="17">
        <v>1</v>
      </c>
      <c r="MF25" s="17"/>
      <c r="MG25" s="17">
        <v>1</v>
      </c>
      <c r="MH25" s="17"/>
      <c r="MI25" s="17"/>
      <c r="MJ25" s="17">
        <v>2</v>
      </c>
      <c r="MK25" s="17">
        <v>1</v>
      </c>
      <c r="ML25" s="17">
        <v>1</v>
      </c>
      <c r="MM25" s="17">
        <v>1</v>
      </c>
      <c r="MN25" s="17">
        <v>1</v>
      </c>
      <c r="MO25" s="17">
        <v>1</v>
      </c>
      <c r="MP25" s="17">
        <v>1</v>
      </c>
      <c r="MQ25" s="17">
        <v>1</v>
      </c>
      <c r="MR25" s="17">
        <v>1</v>
      </c>
      <c r="MS25" s="17"/>
      <c r="MT25" s="17"/>
      <c r="MU25" s="17"/>
      <c r="MV25" s="17"/>
      <c r="MW25" s="17"/>
      <c r="MX25" s="17">
        <v>1</v>
      </c>
      <c r="MY25" s="17"/>
      <c r="MZ25" s="17"/>
      <c r="NA25" s="17"/>
      <c r="NB25" s="17">
        <v>2</v>
      </c>
      <c r="NC25" s="17"/>
      <c r="ND25" s="17">
        <v>1</v>
      </c>
      <c r="NE25" s="17"/>
      <c r="NF25" s="17">
        <v>1</v>
      </c>
      <c r="NG25" s="17">
        <v>1</v>
      </c>
      <c r="NH25" s="17">
        <v>1</v>
      </c>
      <c r="NI25" s="17">
        <v>1</v>
      </c>
      <c r="NJ25" s="17">
        <v>1</v>
      </c>
      <c r="NK25" s="17">
        <v>1</v>
      </c>
      <c r="NL25" s="17"/>
      <c r="NM25" s="17">
        <v>1</v>
      </c>
      <c r="NN25" s="17">
        <v>1</v>
      </c>
      <c r="NO25" s="17">
        <v>1</v>
      </c>
      <c r="NP25" s="17">
        <v>1</v>
      </c>
      <c r="NQ25" s="17"/>
      <c r="NR25" s="17">
        <v>1</v>
      </c>
      <c r="NS25" s="17">
        <v>1</v>
      </c>
      <c r="NT25" s="17"/>
      <c r="NU25" s="17"/>
      <c r="NV25" s="17">
        <v>1</v>
      </c>
      <c r="NW25" s="17">
        <v>1</v>
      </c>
      <c r="NX25" s="17">
        <v>1</v>
      </c>
      <c r="NY25" s="17"/>
      <c r="NZ25" s="17">
        <v>1</v>
      </c>
      <c r="OA25" s="17"/>
      <c r="OB25" s="17"/>
      <c r="OC25" s="17">
        <v>1</v>
      </c>
      <c r="OD25" s="17">
        <v>1</v>
      </c>
      <c r="OE25" s="17"/>
      <c r="OF25" s="17">
        <v>1</v>
      </c>
      <c r="OG25" s="17"/>
      <c r="OH25" s="17">
        <v>1</v>
      </c>
      <c r="OI25" s="17">
        <v>1</v>
      </c>
      <c r="OJ25" s="17">
        <v>1</v>
      </c>
      <c r="OK25" s="17">
        <v>1</v>
      </c>
      <c r="OL25" s="17">
        <v>1</v>
      </c>
      <c r="OM25" s="17"/>
      <c r="ON25" s="17">
        <v>1</v>
      </c>
      <c r="OO25" s="17"/>
      <c r="OP25" s="17"/>
      <c r="OQ25" s="17"/>
      <c r="OR25" s="17">
        <v>1</v>
      </c>
      <c r="OS25" s="17"/>
      <c r="OT25" s="17">
        <v>2</v>
      </c>
      <c r="OU25" s="17">
        <v>2</v>
      </c>
      <c r="OV25" s="17"/>
      <c r="OW25" s="17"/>
      <c r="OX25" s="17"/>
      <c r="OY25" s="17">
        <v>1</v>
      </c>
      <c r="OZ25" s="17"/>
      <c r="PA25" s="17">
        <v>1</v>
      </c>
      <c r="PB25" s="17"/>
      <c r="PC25" s="17"/>
      <c r="PD25" s="17"/>
      <c r="PE25" s="17"/>
      <c r="PF25" s="17">
        <v>1</v>
      </c>
      <c r="PG25" s="17">
        <v>1</v>
      </c>
      <c r="PH25" s="17">
        <v>1</v>
      </c>
      <c r="PI25" s="17">
        <v>1</v>
      </c>
      <c r="PJ25" s="17">
        <v>1</v>
      </c>
      <c r="PK25" s="17">
        <v>2</v>
      </c>
      <c r="PL25" s="17"/>
      <c r="PM25" s="17">
        <v>1</v>
      </c>
      <c r="PN25" s="17">
        <v>1</v>
      </c>
      <c r="PO25" s="17"/>
      <c r="PP25" s="17"/>
      <c r="PQ25" s="17">
        <v>2</v>
      </c>
      <c r="PR25" s="17"/>
      <c r="PS25" s="17"/>
      <c r="PT25" s="17"/>
      <c r="PU25" s="17"/>
      <c r="PV25" s="17">
        <v>1</v>
      </c>
      <c r="PW25" s="17"/>
      <c r="PX25" s="17" t="s">
        <v>507</v>
      </c>
      <c r="PY25" s="17"/>
      <c r="PZ25" s="17"/>
      <c r="QA25" s="17"/>
      <c r="QB25" s="17" t="s">
        <v>508</v>
      </c>
      <c r="QC25" s="17" t="s">
        <v>507</v>
      </c>
      <c r="QD25" s="17" t="s">
        <v>507</v>
      </c>
      <c r="QE25" s="17" t="s">
        <v>507</v>
      </c>
      <c r="QF25" s="17" t="s">
        <v>508</v>
      </c>
      <c r="QG25" s="17"/>
      <c r="QH25" s="17" t="s">
        <v>508</v>
      </c>
      <c r="QI25" s="17">
        <v>1</v>
      </c>
      <c r="QJ25" s="17"/>
      <c r="QK25" s="17">
        <v>0</v>
      </c>
      <c r="QL25" s="17">
        <v>1</v>
      </c>
      <c r="QM25" s="17">
        <v>1</v>
      </c>
      <c r="QN25" s="17">
        <v>1</v>
      </c>
      <c r="QO25" s="17">
        <v>1</v>
      </c>
      <c r="QP25" s="17">
        <v>1</v>
      </c>
      <c r="QQ25" s="17">
        <v>1</v>
      </c>
      <c r="QR25" s="17">
        <v>1</v>
      </c>
      <c r="QS25" s="17">
        <v>1</v>
      </c>
      <c r="QT25" s="17">
        <v>1</v>
      </c>
      <c r="QU25" s="17">
        <v>1</v>
      </c>
      <c r="QV25" s="17">
        <v>1</v>
      </c>
      <c r="QW25" s="17">
        <v>0</v>
      </c>
      <c r="QX25" s="17">
        <v>1</v>
      </c>
      <c r="QY25" s="17">
        <v>1</v>
      </c>
      <c r="QZ25" s="17">
        <v>1</v>
      </c>
      <c r="RA25" s="17">
        <v>1</v>
      </c>
      <c r="RB25" s="17">
        <v>1</v>
      </c>
      <c r="RC25" s="17">
        <v>1</v>
      </c>
      <c r="RD25" s="17">
        <v>0</v>
      </c>
      <c r="RE25" s="17">
        <v>0</v>
      </c>
      <c r="RF25" s="17">
        <v>0</v>
      </c>
      <c r="RG25" s="17">
        <v>0</v>
      </c>
      <c r="RH25" s="17">
        <v>0</v>
      </c>
      <c r="RI25" s="17">
        <v>0</v>
      </c>
      <c r="RJ25" s="17">
        <v>0</v>
      </c>
      <c r="RK25" s="17">
        <v>1</v>
      </c>
      <c r="RL25" s="17">
        <v>1</v>
      </c>
      <c r="RM25" s="17">
        <v>1</v>
      </c>
      <c r="RN25" s="17">
        <v>1</v>
      </c>
      <c r="RO25" s="17">
        <v>1</v>
      </c>
      <c r="RP25" s="17">
        <v>0</v>
      </c>
      <c r="RQ25" s="17">
        <v>0</v>
      </c>
      <c r="RR25" s="17">
        <v>0</v>
      </c>
      <c r="RS25" s="17">
        <v>1</v>
      </c>
      <c r="RT25" s="17">
        <v>0</v>
      </c>
      <c r="RU25" s="17">
        <v>1</v>
      </c>
      <c r="RV25" s="17"/>
      <c r="RW25" s="17">
        <v>1</v>
      </c>
      <c r="RX25" s="17">
        <v>1</v>
      </c>
      <c r="RY25" s="17">
        <v>0</v>
      </c>
      <c r="RZ25" s="17">
        <v>0</v>
      </c>
      <c r="SA25" s="17">
        <v>1</v>
      </c>
      <c r="SB25" s="17">
        <v>1</v>
      </c>
      <c r="SC25" s="17">
        <v>0</v>
      </c>
      <c r="SD25" s="17">
        <v>0</v>
      </c>
      <c r="SE25" s="17">
        <v>1</v>
      </c>
      <c r="SF25" s="17">
        <v>1</v>
      </c>
      <c r="SG25" s="17">
        <v>1</v>
      </c>
      <c r="SH25" s="17">
        <v>0</v>
      </c>
      <c r="SI25" s="17">
        <v>10025</v>
      </c>
      <c r="SJ25" s="19">
        <f t="shared" si="3"/>
        <v>228</v>
      </c>
      <c r="SK25" s="19">
        <f t="shared" si="0"/>
        <v>287</v>
      </c>
      <c r="SL25" s="19">
        <f t="shared" si="1"/>
        <v>59</v>
      </c>
      <c r="SM25" s="9">
        <v>10025</v>
      </c>
      <c r="SN25" s="9" t="s">
        <v>509</v>
      </c>
      <c r="SO25" s="10">
        <v>2</v>
      </c>
      <c r="SP25" s="9">
        <v>2</v>
      </c>
      <c r="SQ25" s="11" t="s">
        <v>517</v>
      </c>
      <c r="SR25" s="9">
        <v>16</v>
      </c>
      <c r="SS25" s="28" t="s">
        <v>563</v>
      </c>
      <c r="ST25" s="28">
        <v>15</v>
      </c>
      <c r="SU25" s="28">
        <v>292</v>
      </c>
      <c r="SV25" s="28">
        <v>87</v>
      </c>
      <c r="SW25" s="28">
        <v>62</v>
      </c>
      <c r="SX25" s="28">
        <v>76</v>
      </c>
      <c r="SY25" s="29">
        <v>41</v>
      </c>
      <c r="SZ25" s="30">
        <v>55</v>
      </c>
      <c r="TA25" s="31">
        <v>18</v>
      </c>
      <c r="TB25" s="31">
        <v>30</v>
      </c>
    </row>
    <row r="26" spans="1:522" ht="15.75" customHeight="1" x14ac:dyDescent="0.2">
      <c r="A26" s="17">
        <v>10026</v>
      </c>
      <c r="B26" s="17" t="s">
        <v>501</v>
      </c>
      <c r="C26" s="17" t="s">
        <v>502</v>
      </c>
      <c r="D26" s="17" t="s">
        <v>503</v>
      </c>
      <c r="E26" s="17" t="s">
        <v>509</v>
      </c>
      <c r="F26" s="18">
        <v>38008</v>
      </c>
      <c r="G26" s="18">
        <v>38491</v>
      </c>
      <c r="H26" s="14">
        <f t="shared" si="2"/>
        <v>15</v>
      </c>
      <c r="I26" s="17" t="s">
        <v>505</v>
      </c>
      <c r="J26" s="17">
        <v>1</v>
      </c>
      <c r="K26" s="17">
        <v>1</v>
      </c>
      <c r="L26" s="17">
        <v>1</v>
      </c>
      <c r="M26" s="17">
        <v>1</v>
      </c>
      <c r="N26" s="17"/>
      <c r="O26" s="17">
        <v>1</v>
      </c>
      <c r="P26" s="17"/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/>
      <c r="W26" s="17"/>
      <c r="X26" s="17"/>
      <c r="Y26" s="17">
        <v>1</v>
      </c>
      <c r="Z26" s="17"/>
      <c r="AA26" s="17"/>
      <c r="AB26" s="17"/>
      <c r="AC26" s="17">
        <v>1</v>
      </c>
      <c r="AD26" s="17"/>
      <c r="AE26" s="17">
        <v>1</v>
      </c>
      <c r="AF26" s="17">
        <v>1</v>
      </c>
      <c r="AG26" s="17"/>
      <c r="AH26" s="17"/>
      <c r="AI26" s="17"/>
      <c r="AJ26" s="17"/>
      <c r="AK26" s="17">
        <v>1</v>
      </c>
      <c r="AL26" s="17"/>
      <c r="AM26" s="17"/>
      <c r="AN26" s="17"/>
      <c r="AO26" s="17" t="s">
        <v>507</v>
      </c>
      <c r="AP26" s="17" t="s">
        <v>507</v>
      </c>
      <c r="AQ26" s="17">
        <v>1</v>
      </c>
      <c r="AR26" s="17"/>
      <c r="AS26" s="17">
        <v>1</v>
      </c>
      <c r="AT26" s="17">
        <v>1</v>
      </c>
      <c r="AU26" s="17">
        <v>1</v>
      </c>
      <c r="AV26" s="17">
        <v>2</v>
      </c>
      <c r="AW26" s="17">
        <v>1</v>
      </c>
      <c r="AX26" s="17">
        <v>2</v>
      </c>
      <c r="AY26" s="17"/>
      <c r="AZ26" s="17">
        <v>2</v>
      </c>
      <c r="BA26" s="17">
        <v>1</v>
      </c>
      <c r="BB26" s="17">
        <v>1</v>
      </c>
      <c r="BC26" s="17">
        <v>1</v>
      </c>
      <c r="BD26" s="17">
        <v>2</v>
      </c>
      <c r="BE26" s="17"/>
      <c r="BF26" s="17">
        <v>1</v>
      </c>
      <c r="BG26" s="17"/>
      <c r="BH26" s="17">
        <v>1</v>
      </c>
      <c r="BI26" s="17"/>
      <c r="BJ26" s="17">
        <v>1</v>
      </c>
      <c r="BK26" s="17">
        <v>1</v>
      </c>
      <c r="BL26" s="17">
        <v>1</v>
      </c>
      <c r="BM26" s="17"/>
      <c r="BN26" s="17">
        <v>1</v>
      </c>
      <c r="BO26" s="17">
        <v>1</v>
      </c>
      <c r="BP26" s="17">
        <v>2</v>
      </c>
      <c r="BQ26" s="17">
        <v>1</v>
      </c>
      <c r="BR26" s="17">
        <v>2</v>
      </c>
      <c r="BS26" s="17"/>
      <c r="BT26" s="17"/>
      <c r="BU26" s="17">
        <v>1</v>
      </c>
      <c r="BV26" s="17">
        <v>1</v>
      </c>
      <c r="BW26" s="17">
        <v>2</v>
      </c>
      <c r="BX26" s="17"/>
      <c r="BY26" s="17">
        <v>1</v>
      </c>
      <c r="BZ26" s="17">
        <v>1</v>
      </c>
      <c r="CA26" s="17"/>
      <c r="CB26" s="17">
        <v>1</v>
      </c>
      <c r="CC26" s="17">
        <v>1</v>
      </c>
      <c r="CD26" s="17">
        <v>1</v>
      </c>
      <c r="CE26" s="17"/>
      <c r="CF26" s="17">
        <v>1</v>
      </c>
      <c r="CG26" s="17">
        <v>1</v>
      </c>
      <c r="CH26" s="17"/>
      <c r="CI26" s="17">
        <v>1</v>
      </c>
      <c r="CJ26" s="17">
        <v>1</v>
      </c>
      <c r="CK26" s="17">
        <v>1</v>
      </c>
      <c r="CL26" s="17">
        <v>1</v>
      </c>
      <c r="CM26" s="17"/>
      <c r="CN26" s="17"/>
      <c r="CO26" s="17"/>
      <c r="CP26" s="17">
        <v>1</v>
      </c>
      <c r="CQ26" s="17"/>
      <c r="CR26" s="17"/>
      <c r="CS26" s="17">
        <v>1</v>
      </c>
      <c r="CT26" s="17"/>
      <c r="CU26" s="17"/>
      <c r="CV26" s="17">
        <v>1</v>
      </c>
      <c r="CW26" s="17">
        <v>1</v>
      </c>
      <c r="CX26" s="17"/>
      <c r="CY26" s="17">
        <v>1</v>
      </c>
      <c r="CZ26" s="17">
        <v>1</v>
      </c>
      <c r="DA26" s="17"/>
      <c r="DB26" s="17"/>
      <c r="DC26" s="17">
        <v>1</v>
      </c>
      <c r="DD26" s="17"/>
      <c r="DE26" s="17">
        <v>1</v>
      </c>
      <c r="DF26" s="17">
        <v>1</v>
      </c>
      <c r="DG26" s="17"/>
      <c r="DH26" s="17"/>
      <c r="DI26" s="17"/>
      <c r="DJ26" s="17">
        <v>1</v>
      </c>
      <c r="DK26" s="17"/>
      <c r="DL26" s="17">
        <v>1</v>
      </c>
      <c r="DM26" s="17">
        <v>2</v>
      </c>
      <c r="DN26" s="17"/>
      <c r="DO26" s="17"/>
      <c r="DP26" s="17"/>
      <c r="DQ26" s="17">
        <v>1</v>
      </c>
      <c r="DR26" s="17">
        <v>1</v>
      </c>
      <c r="DS26" s="17"/>
      <c r="DT26" s="17"/>
      <c r="DU26" s="17">
        <v>1</v>
      </c>
      <c r="DV26" s="17"/>
      <c r="DW26" s="17"/>
      <c r="DX26" s="17">
        <v>1</v>
      </c>
      <c r="DY26" s="17">
        <v>1</v>
      </c>
      <c r="DZ26" s="17">
        <v>1</v>
      </c>
      <c r="EA26" s="17">
        <v>1</v>
      </c>
      <c r="EB26" s="17">
        <v>1</v>
      </c>
      <c r="EC26" s="17"/>
      <c r="ED26" s="17">
        <v>1</v>
      </c>
      <c r="EE26" s="17"/>
      <c r="EF26" s="17"/>
      <c r="EG26" s="17">
        <v>1</v>
      </c>
      <c r="EH26" s="17"/>
      <c r="EI26" s="17">
        <v>1</v>
      </c>
      <c r="EJ26" s="17"/>
      <c r="EK26" s="17"/>
      <c r="EL26" s="17">
        <v>1</v>
      </c>
      <c r="EM26" s="17">
        <v>1</v>
      </c>
      <c r="EN26" s="17"/>
      <c r="EO26" s="17">
        <v>1</v>
      </c>
      <c r="EP26" s="17">
        <v>1</v>
      </c>
      <c r="EQ26" s="17"/>
      <c r="ER26" s="17"/>
      <c r="ES26" s="17">
        <v>1</v>
      </c>
      <c r="ET26" s="17">
        <v>1</v>
      </c>
      <c r="EU26" s="17">
        <v>1</v>
      </c>
      <c r="EV26" s="17">
        <v>2</v>
      </c>
      <c r="EW26" s="17"/>
      <c r="EX26" s="17">
        <v>1</v>
      </c>
      <c r="EY26" s="17">
        <v>1</v>
      </c>
      <c r="EZ26" s="17"/>
      <c r="FA26" s="17"/>
      <c r="FB26" s="17">
        <v>1</v>
      </c>
      <c r="FC26" s="17">
        <v>1</v>
      </c>
      <c r="FD26" s="17">
        <v>1</v>
      </c>
      <c r="FE26" s="17">
        <v>1</v>
      </c>
      <c r="FF26" s="17"/>
      <c r="FG26" s="17">
        <v>1</v>
      </c>
      <c r="FH26" s="17">
        <v>1</v>
      </c>
      <c r="FI26" s="17">
        <v>1</v>
      </c>
      <c r="FJ26" s="17">
        <v>1</v>
      </c>
      <c r="FK26" s="17"/>
      <c r="FL26" s="17"/>
      <c r="FM26" s="17">
        <v>1</v>
      </c>
      <c r="FN26" s="17">
        <v>1</v>
      </c>
      <c r="FO26" s="17">
        <v>1</v>
      </c>
      <c r="FP26" s="17"/>
      <c r="FQ26" s="17">
        <v>1</v>
      </c>
      <c r="FR26" s="17"/>
      <c r="FS26" s="17">
        <v>1</v>
      </c>
      <c r="FT26" s="17">
        <v>1</v>
      </c>
      <c r="FU26" s="17"/>
      <c r="FV26" s="17"/>
      <c r="FW26" s="17">
        <v>1</v>
      </c>
      <c r="FX26" s="17">
        <v>1</v>
      </c>
      <c r="FY26" s="17"/>
      <c r="FZ26" s="17"/>
      <c r="GA26" s="17">
        <v>1</v>
      </c>
      <c r="GB26" s="17">
        <v>1</v>
      </c>
      <c r="GC26" s="17">
        <v>1</v>
      </c>
      <c r="GD26" s="17"/>
      <c r="GE26" s="17">
        <v>1</v>
      </c>
      <c r="GF26" s="17"/>
      <c r="GG26" s="17"/>
      <c r="GH26" s="17"/>
      <c r="GI26" s="17"/>
      <c r="GJ26" s="17"/>
      <c r="GK26" s="17">
        <v>1</v>
      </c>
      <c r="GL26" s="17"/>
      <c r="GM26" s="17"/>
      <c r="GN26" s="17">
        <v>1</v>
      </c>
      <c r="GO26" s="17"/>
      <c r="GP26" s="17">
        <v>1</v>
      </c>
      <c r="GQ26" s="17"/>
      <c r="GR26" s="17"/>
      <c r="GS26" s="17">
        <v>1</v>
      </c>
      <c r="GT26" s="17"/>
      <c r="GU26" s="17"/>
      <c r="GV26" s="17"/>
      <c r="GW26" s="17"/>
      <c r="GX26" s="17">
        <v>1</v>
      </c>
      <c r="GY26" s="17">
        <v>1</v>
      </c>
      <c r="GZ26" s="17">
        <v>1</v>
      </c>
      <c r="HA26" s="17">
        <v>1</v>
      </c>
      <c r="HB26" s="17">
        <v>1</v>
      </c>
      <c r="HC26" s="17">
        <v>1</v>
      </c>
      <c r="HD26" s="17">
        <v>1</v>
      </c>
      <c r="HE26" s="17"/>
      <c r="HF26" s="17">
        <v>1</v>
      </c>
      <c r="HG26" s="17">
        <v>1</v>
      </c>
      <c r="HH26" s="17"/>
      <c r="HI26" s="17">
        <v>1</v>
      </c>
      <c r="HJ26" s="17">
        <v>1</v>
      </c>
      <c r="HK26" s="17">
        <v>1</v>
      </c>
      <c r="HL26" s="17">
        <v>1</v>
      </c>
      <c r="HM26" s="17">
        <v>1</v>
      </c>
      <c r="HN26" s="17"/>
      <c r="HO26" s="17">
        <v>1</v>
      </c>
      <c r="HP26" s="17">
        <v>1</v>
      </c>
      <c r="HQ26" s="17"/>
      <c r="HR26" s="17"/>
      <c r="HS26" s="17">
        <v>1</v>
      </c>
      <c r="HT26" s="17"/>
      <c r="HU26" s="17">
        <v>1</v>
      </c>
      <c r="HV26" s="17"/>
      <c r="HW26" s="17"/>
      <c r="HX26" s="17"/>
      <c r="HY26" s="17"/>
      <c r="HZ26" s="17">
        <v>1</v>
      </c>
      <c r="IA26" s="17">
        <v>1</v>
      </c>
      <c r="IB26" s="17"/>
      <c r="IC26" s="17">
        <v>1</v>
      </c>
      <c r="ID26" s="17"/>
      <c r="IE26" s="17"/>
      <c r="IF26" s="17">
        <v>1</v>
      </c>
      <c r="IG26" s="17"/>
      <c r="IH26" s="17"/>
      <c r="II26" s="17">
        <v>1</v>
      </c>
      <c r="IJ26" s="17"/>
      <c r="IK26" s="17">
        <v>1</v>
      </c>
      <c r="IL26" s="17">
        <v>1</v>
      </c>
      <c r="IM26" s="17"/>
      <c r="IN26" s="17"/>
      <c r="IO26" s="17">
        <v>1</v>
      </c>
      <c r="IP26" s="17">
        <v>1</v>
      </c>
      <c r="IQ26" s="17"/>
      <c r="IR26" s="17">
        <v>1</v>
      </c>
      <c r="IS26" s="17"/>
      <c r="IT26" s="17">
        <v>1</v>
      </c>
      <c r="IU26" s="17"/>
      <c r="IV26" s="17"/>
      <c r="IW26" s="17">
        <v>1</v>
      </c>
      <c r="IX26" s="17"/>
      <c r="IY26" s="17">
        <v>1</v>
      </c>
      <c r="IZ26" s="17">
        <v>1</v>
      </c>
      <c r="JA26" s="17">
        <v>1</v>
      </c>
      <c r="JB26" s="17"/>
      <c r="JC26" s="17">
        <v>1</v>
      </c>
      <c r="JD26" s="17">
        <v>1</v>
      </c>
      <c r="JE26" s="17">
        <v>1</v>
      </c>
      <c r="JF26" s="17"/>
      <c r="JG26" s="17"/>
      <c r="JH26" s="17"/>
      <c r="JI26" s="17"/>
      <c r="JJ26" s="17">
        <v>1</v>
      </c>
      <c r="JK26" s="17">
        <v>2</v>
      </c>
      <c r="JL26" s="17"/>
      <c r="JM26" s="17">
        <v>1</v>
      </c>
      <c r="JN26" s="17">
        <v>1</v>
      </c>
      <c r="JO26" s="17"/>
      <c r="JP26" s="17"/>
      <c r="JQ26" s="17">
        <v>1</v>
      </c>
      <c r="JR26" s="17">
        <v>1</v>
      </c>
      <c r="JS26" s="17"/>
      <c r="JT26" s="17"/>
      <c r="JU26" s="17"/>
      <c r="JV26" s="17"/>
      <c r="JW26" s="17">
        <v>1</v>
      </c>
      <c r="JX26" s="17">
        <v>1</v>
      </c>
      <c r="JY26" s="17">
        <v>1</v>
      </c>
      <c r="JZ26" s="17">
        <v>2</v>
      </c>
      <c r="KA26" s="17"/>
      <c r="KB26" s="17">
        <v>1</v>
      </c>
      <c r="KC26" s="17">
        <v>1</v>
      </c>
      <c r="KD26" s="17">
        <v>2</v>
      </c>
      <c r="KE26" s="17"/>
      <c r="KF26" s="17">
        <v>1</v>
      </c>
      <c r="KG26" s="17">
        <v>1</v>
      </c>
      <c r="KH26" s="17">
        <v>1</v>
      </c>
      <c r="KI26" s="17"/>
      <c r="KJ26" s="17">
        <v>1</v>
      </c>
      <c r="KK26" s="17"/>
      <c r="KL26" s="17"/>
      <c r="KM26" s="17"/>
      <c r="KN26" s="17">
        <v>1</v>
      </c>
      <c r="KO26" s="17">
        <v>1</v>
      </c>
      <c r="KP26" s="17">
        <v>1</v>
      </c>
      <c r="KQ26" s="17">
        <v>1</v>
      </c>
      <c r="KR26" s="17">
        <v>1</v>
      </c>
      <c r="KS26" s="17"/>
      <c r="KT26" s="17">
        <v>1</v>
      </c>
      <c r="KU26" s="17">
        <v>1</v>
      </c>
      <c r="KV26" s="17"/>
      <c r="KW26" s="17">
        <v>1</v>
      </c>
      <c r="KX26" s="17">
        <v>1</v>
      </c>
      <c r="KY26" s="17"/>
      <c r="KZ26" s="17"/>
      <c r="LA26" s="17">
        <v>1</v>
      </c>
      <c r="LB26" s="17"/>
      <c r="LC26" s="17">
        <v>1</v>
      </c>
      <c r="LD26" s="17">
        <v>1</v>
      </c>
      <c r="LE26" s="17">
        <v>1</v>
      </c>
      <c r="LF26" s="17"/>
      <c r="LG26" s="17">
        <v>1</v>
      </c>
      <c r="LH26" s="17">
        <v>1</v>
      </c>
      <c r="LI26" s="17">
        <v>1</v>
      </c>
      <c r="LJ26" s="17"/>
      <c r="LK26" s="17">
        <v>1</v>
      </c>
      <c r="LL26" s="17">
        <v>1</v>
      </c>
      <c r="LM26" s="17"/>
      <c r="LN26" s="17"/>
      <c r="LO26" s="17"/>
      <c r="LP26" s="17">
        <v>1</v>
      </c>
      <c r="LQ26" s="17">
        <v>1</v>
      </c>
      <c r="LR26" s="17"/>
      <c r="LS26" s="17">
        <v>1</v>
      </c>
      <c r="LT26" s="17">
        <v>1</v>
      </c>
      <c r="LU26" s="17">
        <v>1</v>
      </c>
      <c r="LV26" s="17">
        <v>1</v>
      </c>
      <c r="LW26" s="17"/>
      <c r="LX26" s="17">
        <v>1</v>
      </c>
      <c r="LY26" s="17">
        <v>1</v>
      </c>
      <c r="LZ26" s="17"/>
      <c r="MA26" s="17">
        <v>1</v>
      </c>
      <c r="MB26" s="17">
        <v>1</v>
      </c>
      <c r="MC26" s="17">
        <v>1</v>
      </c>
      <c r="MD26" s="17"/>
      <c r="ME26" s="17">
        <v>1</v>
      </c>
      <c r="MF26" s="17">
        <v>1</v>
      </c>
      <c r="MG26" s="17">
        <v>1</v>
      </c>
      <c r="MH26" s="17">
        <v>1</v>
      </c>
      <c r="MI26" s="17"/>
      <c r="MJ26" s="17">
        <v>1</v>
      </c>
      <c r="MK26" s="17">
        <v>1</v>
      </c>
      <c r="ML26" s="17"/>
      <c r="MM26" s="17">
        <v>1</v>
      </c>
      <c r="MN26" s="17">
        <v>1</v>
      </c>
      <c r="MO26" s="17">
        <v>1</v>
      </c>
      <c r="MP26" s="17">
        <v>1</v>
      </c>
      <c r="MQ26" s="17">
        <v>1</v>
      </c>
      <c r="MR26" s="17">
        <v>1</v>
      </c>
      <c r="MS26" s="17"/>
      <c r="MT26" s="17"/>
      <c r="MU26" s="17"/>
      <c r="MV26" s="17"/>
      <c r="MW26" s="17"/>
      <c r="MX26" s="17">
        <v>1</v>
      </c>
      <c r="MY26" s="17"/>
      <c r="MZ26" s="17"/>
      <c r="NA26" s="17"/>
      <c r="NB26" s="17">
        <v>1</v>
      </c>
      <c r="NC26" s="17">
        <v>1</v>
      </c>
      <c r="ND26" s="17"/>
      <c r="NE26" s="17"/>
      <c r="NF26" s="17"/>
      <c r="NG26" s="17"/>
      <c r="NH26" s="17"/>
      <c r="NI26" s="17"/>
      <c r="NJ26" s="17">
        <v>1</v>
      </c>
      <c r="NK26" s="17"/>
      <c r="NL26" s="17"/>
      <c r="NM26" s="17">
        <v>1</v>
      </c>
      <c r="NN26" s="17"/>
      <c r="NO26" s="17">
        <v>1</v>
      </c>
      <c r="NP26" s="17"/>
      <c r="NQ26" s="17"/>
      <c r="NR26" s="17"/>
      <c r="NS26" s="17">
        <v>1</v>
      </c>
      <c r="NT26" s="17"/>
      <c r="NU26" s="17"/>
      <c r="NV26" s="17"/>
      <c r="NW26" s="17">
        <v>1</v>
      </c>
      <c r="NX26" s="17">
        <v>1</v>
      </c>
      <c r="NY26" s="17"/>
      <c r="NZ26" s="17"/>
      <c r="OA26" s="17"/>
      <c r="OB26" s="17"/>
      <c r="OC26" s="17"/>
      <c r="OD26" s="17"/>
      <c r="OE26" s="17"/>
      <c r="OF26" s="17"/>
      <c r="OG26" s="17">
        <v>1</v>
      </c>
      <c r="OH26" s="17"/>
      <c r="OI26" s="17">
        <v>1</v>
      </c>
      <c r="OJ26" s="17">
        <v>1</v>
      </c>
      <c r="OK26" s="17">
        <v>1</v>
      </c>
      <c r="OL26" s="17">
        <v>1</v>
      </c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>
        <v>1</v>
      </c>
      <c r="PB26" s="17"/>
      <c r="PC26" s="17"/>
      <c r="PD26" s="17"/>
      <c r="PE26" s="17"/>
      <c r="PF26" s="17">
        <v>1</v>
      </c>
      <c r="PG26" s="17">
        <v>1</v>
      </c>
      <c r="PH26" s="17">
        <v>1</v>
      </c>
      <c r="PI26" s="17">
        <v>1</v>
      </c>
      <c r="PJ26" s="17">
        <v>1</v>
      </c>
      <c r="PK26" s="17">
        <v>1</v>
      </c>
      <c r="PL26" s="17">
        <v>1</v>
      </c>
      <c r="PM26" s="17"/>
      <c r="PN26" s="17">
        <v>1</v>
      </c>
      <c r="PO26" s="17"/>
      <c r="PP26" s="17">
        <v>1</v>
      </c>
      <c r="PQ26" s="17">
        <v>1</v>
      </c>
      <c r="PR26" s="17">
        <v>1</v>
      </c>
      <c r="PS26" s="17"/>
      <c r="PT26" s="17"/>
      <c r="PU26" s="17"/>
      <c r="PV26" s="17"/>
      <c r="PW26" s="17" t="s">
        <v>506</v>
      </c>
      <c r="PX26" s="17" t="s">
        <v>506</v>
      </c>
      <c r="PY26" s="17" t="s">
        <v>506</v>
      </c>
      <c r="PZ26" s="17" t="s">
        <v>506</v>
      </c>
      <c r="QA26" s="17" t="s">
        <v>506</v>
      </c>
      <c r="QB26" s="17" t="s">
        <v>507</v>
      </c>
      <c r="QC26" s="17" t="s">
        <v>508</v>
      </c>
      <c r="QD26" s="17" t="s">
        <v>507</v>
      </c>
      <c r="QE26" s="17" t="s">
        <v>507</v>
      </c>
      <c r="QF26" s="17" t="s">
        <v>506</v>
      </c>
      <c r="QG26" s="17" t="s">
        <v>508</v>
      </c>
      <c r="QH26" s="17" t="s">
        <v>508</v>
      </c>
      <c r="QI26" s="17">
        <v>1</v>
      </c>
      <c r="QJ26" s="17">
        <v>0</v>
      </c>
      <c r="QK26" s="17">
        <v>1</v>
      </c>
      <c r="QL26" s="17">
        <v>1</v>
      </c>
      <c r="QM26" s="17">
        <v>0</v>
      </c>
      <c r="QN26" s="17">
        <v>1</v>
      </c>
      <c r="QO26" s="17">
        <v>1</v>
      </c>
      <c r="QP26" s="17">
        <v>1</v>
      </c>
      <c r="QQ26" s="17">
        <v>1</v>
      </c>
      <c r="QR26" s="17">
        <v>1</v>
      </c>
      <c r="QS26" s="17">
        <v>0</v>
      </c>
      <c r="QT26" s="17">
        <v>1</v>
      </c>
      <c r="QU26" s="17">
        <v>1</v>
      </c>
      <c r="QV26" s="17">
        <v>0</v>
      </c>
      <c r="QW26" s="17">
        <v>0</v>
      </c>
      <c r="QX26" s="17">
        <v>0</v>
      </c>
      <c r="QY26" s="17">
        <v>0</v>
      </c>
      <c r="QZ26" s="17">
        <v>1</v>
      </c>
      <c r="RA26" s="17">
        <v>1</v>
      </c>
      <c r="RB26" s="17">
        <v>1</v>
      </c>
      <c r="RC26" s="17">
        <v>1</v>
      </c>
      <c r="RD26" s="17">
        <v>0</v>
      </c>
      <c r="RE26" s="17">
        <v>0</v>
      </c>
      <c r="RF26" s="17">
        <v>0</v>
      </c>
      <c r="RG26" s="17">
        <v>0</v>
      </c>
      <c r="RH26" s="17">
        <v>0</v>
      </c>
      <c r="RI26" s="17">
        <v>0</v>
      </c>
      <c r="RJ26" s="17">
        <v>0</v>
      </c>
      <c r="RK26" s="17">
        <v>0</v>
      </c>
      <c r="RL26" s="17">
        <v>1</v>
      </c>
      <c r="RM26" s="17">
        <v>0</v>
      </c>
      <c r="RN26" s="17">
        <v>1</v>
      </c>
      <c r="RO26" s="17">
        <v>0</v>
      </c>
      <c r="RP26" s="17">
        <v>0</v>
      </c>
      <c r="RQ26" s="17">
        <v>1</v>
      </c>
      <c r="RR26" s="17">
        <v>0</v>
      </c>
      <c r="RS26" s="17">
        <v>0</v>
      </c>
      <c r="RT26" s="17">
        <v>0</v>
      </c>
      <c r="RU26" s="17">
        <v>0</v>
      </c>
      <c r="RV26" s="17">
        <v>0</v>
      </c>
      <c r="RW26" s="17">
        <v>1</v>
      </c>
      <c r="RX26" s="17">
        <v>1</v>
      </c>
      <c r="RY26" s="17">
        <v>0</v>
      </c>
      <c r="RZ26" s="17">
        <v>0</v>
      </c>
      <c r="SA26" s="17">
        <v>1</v>
      </c>
      <c r="SB26" s="17">
        <v>0</v>
      </c>
      <c r="SC26" s="17">
        <v>0</v>
      </c>
      <c r="SD26" s="17">
        <v>0</v>
      </c>
      <c r="SE26" s="17">
        <v>1</v>
      </c>
      <c r="SF26" s="17">
        <v>1</v>
      </c>
      <c r="SG26" s="17">
        <v>0</v>
      </c>
      <c r="SH26" s="17"/>
      <c r="SI26" s="17">
        <v>10026</v>
      </c>
      <c r="SJ26" s="19">
        <f t="shared" si="3"/>
        <v>201</v>
      </c>
      <c r="SK26" s="19">
        <f t="shared" si="0"/>
        <v>213</v>
      </c>
      <c r="SL26" s="19">
        <f t="shared" si="1"/>
        <v>12</v>
      </c>
      <c r="SM26" s="9">
        <v>10026</v>
      </c>
      <c r="SN26" s="9" t="s">
        <v>509</v>
      </c>
      <c r="SO26" s="10">
        <v>1</v>
      </c>
      <c r="SP26" s="9">
        <v>1</v>
      </c>
      <c r="SQ26" s="11" t="s">
        <v>517</v>
      </c>
      <c r="SR26" s="9">
        <v>16</v>
      </c>
      <c r="SS26" s="28">
        <v>63</v>
      </c>
      <c r="ST26" s="28">
        <v>15</v>
      </c>
      <c r="SU26" s="28">
        <v>213</v>
      </c>
      <c r="SV26" s="28">
        <v>64</v>
      </c>
      <c r="SW26" s="28">
        <v>12</v>
      </c>
      <c r="SX26" s="28">
        <v>29</v>
      </c>
      <c r="SY26" s="29">
        <v>31</v>
      </c>
      <c r="SZ26" s="30">
        <v>20</v>
      </c>
      <c r="TA26" s="31">
        <v>12</v>
      </c>
      <c r="TB26" s="31">
        <v>14</v>
      </c>
    </row>
    <row r="27" spans="1:522" ht="15.75" customHeight="1" x14ac:dyDescent="0.2">
      <c r="A27" s="17">
        <v>10027</v>
      </c>
      <c r="B27" s="17" t="s">
        <v>501</v>
      </c>
      <c r="C27" s="17" t="s">
        <v>502</v>
      </c>
      <c r="D27" s="17" t="s">
        <v>503</v>
      </c>
      <c r="E27" s="17" t="s">
        <v>504</v>
      </c>
      <c r="F27" s="18">
        <v>38006</v>
      </c>
      <c r="G27" s="18">
        <v>38522</v>
      </c>
      <c r="H27" s="14">
        <f t="shared" si="2"/>
        <v>16</v>
      </c>
      <c r="I27" s="17" t="s">
        <v>505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/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 t="s">
        <v>508</v>
      </c>
      <c r="AP27" s="17" t="s">
        <v>508</v>
      </c>
      <c r="AQ27" s="17">
        <v>2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7">
        <v>1</v>
      </c>
      <c r="BK27" s="17">
        <v>1</v>
      </c>
      <c r="BL27" s="17">
        <v>1</v>
      </c>
      <c r="BM27" s="17">
        <v>1</v>
      </c>
      <c r="BN27" s="17">
        <v>1</v>
      </c>
      <c r="BO27" s="17">
        <v>1</v>
      </c>
      <c r="BP27" s="17">
        <v>1</v>
      </c>
      <c r="BQ27" s="17">
        <v>1</v>
      </c>
      <c r="BR27" s="17">
        <v>1</v>
      </c>
      <c r="BS27" s="17">
        <v>1</v>
      </c>
      <c r="BT27" s="17">
        <v>1</v>
      </c>
      <c r="BU27" s="17">
        <v>1</v>
      </c>
      <c r="BV27" s="17">
        <v>1</v>
      </c>
      <c r="BW27" s="17">
        <v>1</v>
      </c>
      <c r="BX27" s="17">
        <v>1</v>
      </c>
      <c r="BY27" s="17">
        <v>1</v>
      </c>
      <c r="BZ27" s="17">
        <v>1</v>
      </c>
      <c r="CA27" s="17">
        <v>1</v>
      </c>
      <c r="CB27" s="17">
        <v>1</v>
      </c>
      <c r="CC27" s="17">
        <v>1</v>
      </c>
      <c r="CD27" s="17">
        <v>1</v>
      </c>
      <c r="CE27" s="17">
        <v>1</v>
      </c>
      <c r="CF27" s="17">
        <v>1</v>
      </c>
      <c r="CG27" s="17">
        <v>1</v>
      </c>
      <c r="CH27" s="17">
        <v>1</v>
      </c>
      <c r="CI27" s="17">
        <v>1</v>
      </c>
      <c r="CJ27" s="17">
        <v>1</v>
      </c>
      <c r="CK27" s="17">
        <v>1</v>
      </c>
      <c r="CL27" s="17">
        <v>1</v>
      </c>
      <c r="CM27" s="17">
        <v>1</v>
      </c>
      <c r="CN27" s="17">
        <v>1</v>
      </c>
      <c r="CO27" s="17">
        <v>1</v>
      </c>
      <c r="CP27" s="17">
        <v>1</v>
      </c>
      <c r="CQ27" s="17">
        <v>1</v>
      </c>
      <c r="CR27" s="17">
        <v>1</v>
      </c>
      <c r="CS27" s="17">
        <v>1</v>
      </c>
      <c r="CT27" s="17">
        <v>1</v>
      </c>
      <c r="CU27" s="17">
        <v>1</v>
      </c>
      <c r="CV27" s="17">
        <v>1</v>
      </c>
      <c r="CW27" s="17">
        <v>1</v>
      </c>
      <c r="CX27" s="17">
        <v>1</v>
      </c>
      <c r="CY27" s="17">
        <v>1</v>
      </c>
      <c r="CZ27" s="17">
        <v>1</v>
      </c>
      <c r="DA27" s="17">
        <v>1</v>
      </c>
      <c r="DB27" s="17">
        <v>1</v>
      </c>
      <c r="DC27" s="17">
        <v>1</v>
      </c>
      <c r="DD27" s="17">
        <v>1</v>
      </c>
      <c r="DE27" s="17">
        <v>1</v>
      </c>
      <c r="DF27" s="17">
        <v>1</v>
      </c>
      <c r="DG27" s="17">
        <v>1</v>
      </c>
      <c r="DH27" s="17">
        <v>1</v>
      </c>
      <c r="DI27" s="17">
        <v>1</v>
      </c>
      <c r="DJ27" s="17">
        <v>1</v>
      </c>
      <c r="DK27" s="17">
        <v>1</v>
      </c>
      <c r="DL27" s="17">
        <v>1</v>
      </c>
      <c r="DM27" s="17">
        <v>1</v>
      </c>
      <c r="DN27" s="17">
        <v>1</v>
      </c>
      <c r="DO27" s="17">
        <v>1</v>
      </c>
      <c r="DP27" s="17">
        <v>1</v>
      </c>
      <c r="DQ27" s="17">
        <v>1</v>
      </c>
      <c r="DR27" s="17">
        <v>1</v>
      </c>
      <c r="DS27" s="17">
        <v>1</v>
      </c>
      <c r="DT27" s="17">
        <v>1</v>
      </c>
      <c r="DU27" s="17">
        <v>1</v>
      </c>
      <c r="DV27" s="17">
        <v>1</v>
      </c>
      <c r="DW27" s="17">
        <v>1</v>
      </c>
      <c r="DX27" s="17">
        <v>1</v>
      </c>
      <c r="DY27" s="17">
        <v>1</v>
      </c>
      <c r="DZ27" s="17">
        <v>1</v>
      </c>
      <c r="EA27" s="17">
        <v>1</v>
      </c>
      <c r="EB27" s="17">
        <v>1</v>
      </c>
      <c r="EC27" s="17">
        <v>1</v>
      </c>
      <c r="ED27" s="17">
        <v>1</v>
      </c>
      <c r="EE27" s="17">
        <v>1</v>
      </c>
      <c r="EF27" s="17">
        <v>1</v>
      </c>
      <c r="EG27" s="17">
        <v>1</v>
      </c>
      <c r="EH27" s="17"/>
      <c r="EI27" s="17">
        <v>1</v>
      </c>
      <c r="EJ27" s="17"/>
      <c r="EK27" s="17">
        <v>1</v>
      </c>
      <c r="EL27" s="17">
        <v>1</v>
      </c>
      <c r="EM27" s="17">
        <v>1</v>
      </c>
      <c r="EN27" s="17"/>
      <c r="EO27" s="17">
        <v>1</v>
      </c>
      <c r="EP27" s="17">
        <v>1</v>
      </c>
      <c r="EQ27" s="17">
        <v>1</v>
      </c>
      <c r="ER27" s="17">
        <v>1</v>
      </c>
      <c r="ES27" s="17">
        <v>1</v>
      </c>
      <c r="ET27" s="17">
        <v>1</v>
      </c>
      <c r="EU27" s="17">
        <v>1</v>
      </c>
      <c r="EV27" s="17">
        <v>1</v>
      </c>
      <c r="EW27" s="17">
        <v>1</v>
      </c>
      <c r="EX27" s="17">
        <v>1</v>
      </c>
      <c r="EY27" s="17">
        <v>1</v>
      </c>
      <c r="EZ27" s="17">
        <v>1</v>
      </c>
      <c r="FA27" s="17">
        <v>1</v>
      </c>
      <c r="FB27" s="17">
        <v>1</v>
      </c>
      <c r="FC27" s="17">
        <v>1</v>
      </c>
      <c r="FD27" s="17">
        <v>1</v>
      </c>
      <c r="FE27" s="17">
        <v>1</v>
      </c>
      <c r="FF27" s="17">
        <v>1</v>
      </c>
      <c r="FG27" s="17">
        <v>1</v>
      </c>
      <c r="FH27" s="17">
        <v>1</v>
      </c>
      <c r="FI27" s="17">
        <v>1</v>
      </c>
      <c r="FJ27" s="17">
        <v>1</v>
      </c>
      <c r="FK27" s="17">
        <v>1</v>
      </c>
      <c r="FL27" s="17">
        <v>1</v>
      </c>
      <c r="FM27" s="17">
        <v>1</v>
      </c>
      <c r="FN27" s="17">
        <v>1</v>
      </c>
      <c r="FO27" s="17">
        <v>1</v>
      </c>
      <c r="FP27" s="17">
        <v>1</v>
      </c>
      <c r="FQ27" s="17">
        <v>1</v>
      </c>
      <c r="FR27" s="17">
        <v>1</v>
      </c>
      <c r="FS27" s="17">
        <v>1</v>
      </c>
      <c r="FT27" s="17">
        <v>1</v>
      </c>
      <c r="FU27" s="17">
        <v>1</v>
      </c>
      <c r="FV27" s="17">
        <v>1</v>
      </c>
      <c r="FW27" s="17">
        <v>1</v>
      </c>
      <c r="FX27" s="17">
        <v>1</v>
      </c>
      <c r="FY27" s="17">
        <v>1</v>
      </c>
      <c r="FZ27" s="17">
        <v>1</v>
      </c>
      <c r="GA27" s="17">
        <v>1</v>
      </c>
      <c r="GB27" s="17">
        <v>1</v>
      </c>
      <c r="GC27" s="17">
        <v>1</v>
      </c>
      <c r="GD27" s="17">
        <v>1</v>
      </c>
      <c r="GE27" s="17">
        <v>1</v>
      </c>
      <c r="GF27" s="17">
        <v>1</v>
      </c>
      <c r="GG27" s="17">
        <v>1</v>
      </c>
      <c r="GH27" s="17">
        <v>1</v>
      </c>
      <c r="GI27" s="17">
        <v>1</v>
      </c>
      <c r="GJ27" s="17">
        <v>1</v>
      </c>
      <c r="GK27" s="17">
        <v>1</v>
      </c>
      <c r="GL27" s="17">
        <v>1</v>
      </c>
      <c r="GM27" s="17"/>
      <c r="GN27" s="17">
        <v>1</v>
      </c>
      <c r="GO27" s="17">
        <v>1</v>
      </c>
      <c r="GP27" s="17">
        <v>1</v>
      </c>
      <c r="GQ27" s="17">
        <v>1</v>
      </c>
      <c r="GR27" s="17">
        <v>1</v>
      </c>
      <c r="GS27" s="17">
        <v>1</v>
      </c>
      <c r="GT27" s="17">
        <v>1</v>
      </c>
      <c r="GU27" s="17">
        <v>1</v>
      </c>
      <c r="GV27" s="17">
        <v>1</v>
      </c>
      <c r="GW27" s="17">
        <v>1</v>
      </c>
      <c r="GX27" s="17">
        <v>1</v>
      </c>
      <c r="GY27" s="17">
        <v>1</v>
      </c>
      <c r="GZ27" s="17">
        <v>1</v>
      </c>
      <c r="HA27" s="17">
        <v>1</v>
      </c>
      <c r="HB27" s="17">
        <v>1</v>
      </c>
      <c r="HC27" s="17">
        <v>1</v>
      </c>
      <c r="HD27" s="17">
        <v>1</v>
      </c>
      <c r="HE27" s="17">
        <v>1</v>
      </c>
      <c r="HF27" s="17">
        <v>1</v>
      </c>
      <c r="HG27" s="17">
        <v>1</v>
      </c>
      <c r="HH27" s="17">
        <v>1</v>
      </c>
      <c r="HI27" s="17">
        <v>1</v>
      </c>
      <c r="HJ27" s="17">
        <v>1</v>
      </c>
      <c r="HK27" s="17">
        <v>1</v>
      </c>
      <c r="HL27" s="17">
        <v>1</v>
      </c>
      <c r="HM27" s="17">
        <v>1</v>
      </c>
      <c r="HN27" s="17">
        <v>1</v>
      </c>
      <c r="HO27" s="17">
        <v>1</v>
      </c>
      <c r="HP27" s="17">
        <v>1</v>
      </c>
      <c r="HQ27" s="17">
        <v>1</v>
      </c>
      <c r="HR27" s="17">
        <v>1</v>
      </c>
      <c r="HS27" s="17">
        <v>1</v>
      </c>
      <c r="HT27" s="17">
        <v>1</v>
      </c>
      <c r="HU27" s="17">
        <v>1</v>
      </c>
      <c r="HV27" s="17">
        <v>1</v>
      </c>
      <c r="HW27" s="17">
        <v>1</v>
      </c>
      <c r="HX27" s="17">
        <v>1</v>
      </c>
      <c r="HY27" s="17">
        <v>1</v>
      </c>
      <c r="HZ27" s="17">
        <v>1</v>
      </c>
      <c r="IA27" s="17">
        <v>1</v>
      </c>
      <c r="IB27" s="17">
        <v>1</v>
      </c>
      <c r="IC27" s="17"/>
      <c r="ID27" s="17"/>
      <c r="IE27" s="17"/>
      <c r="IF27" s="17">
        <v>1</v>
      </c>
      <c r="IG27" s="17">
        <v>1</v>
      </c>
      <c r="IH27" s="17">
        <v>1</v>
      </c>
      <c r="II27" s="17">
        <v>1</v>
      </c>
      <c r="IJ27" s="17">
        <v>1</v>
      </c>
      <c r="IK27" s="17">
        <v>1</v>
      </c>
      <c r="IL27" s="17">
        <v>1</v>
      </c>
      <c r="IM27" s="17">
        <v>1</v>
      </c>
      <c r="IN27" s="17">
        <v>1</v>
      </c>
      <c r="IO27" s="17"/>
      <c r="IP27" s="17">
        <v>1</v>
      </c>
      <c r="IQ27" s="17"/>
      <c r="IR27" s="17">
        <v>1</v>
      </c>
      <c r="IS27" s="17">
        <v>1</v>
      </c>
      <c r="IT27" s="17">
        <v>1</v>
      </c>
      <c r="IU27" s="17"/>
      <c r="IV27" s="17">
        <v>1</v>
      </c>
      <c r="IW27" s="17">
        <v>1</v>
      </c>
      <c r="IX27" s="17">
        <v>1</v>
      </c>
      <c r="IY27" s="17">
        <v>1</v>
      </c>
      <c r="IZ27" s="17">
        <v>1</v>
      </c>
      <c r="JA27" s="17">
        <v>1</v>
      </c>
      <c r="JB27" s="17">
        <v>1</v>
      </c>
      <c r="JC27" s="17">
        <v>1</v>
      </c>
      <c r="JD27" s="17"/>
      <c r="JE27" s="17">
        <v>1</v>
      </c>
      <c r="JF27" s="17">
        <v>1</v>
      </c>
      <c r="JG27" s="17">
        <v>1</v>
      </c>
      <c r="JH27" s="17"/>
      <c r="JI27" s="17">
        <v>1</v>
      </c>
      <c r="JJ27" s="17"/>
      <c r="JK27" s="17">
        <v>1</v>
      </c>
      <c r="JL27" s="17">
        <v>1</v>
      </c>
      <c r="JM27" s="17">
        <v>1</v>
      </c>
      <c r="JN27" s="17">
        <v>1</v>
      </c>
      <c r="JO27" s="17"/>
      <c r="JP27" s="17"/>
      <c r="JQ27" s="17">
        <v>1</v>
      </c>
      <c r="JR27" s="17">
        <v>1</v>
      </c>
      <c r="JS27" s="17"/>
      <c r="JT27" s="17"/>
      <c r="JU27" s="17"/>
      <c r="JV27" s="17"/>
      <c r="JW27" s="17"/>
      <c r="JX27" s="17">
        <v>1</v>
      </c>
      <c r="JY27" s="17">
        <v>1</v>
      </c>
      <c r="JZ27" s="17">
        <v>1</v>
      </c>
      <c r="KA27" s="17">
        <v>1</v>
      </c>
      <c r="KB27" s="17">
        <v>1</v>
      </c>
      <c r="KC27" s="17">
        <v>1</v>
      </c>
      <c r="KD27" s="17">
        <v>1</v>
      </c>
      <c r="KE27" s="17">
        <v>1</v>
      </c>
      <c r="KF27" s="17">
        <v>1</v>
      </c>
      <c r="KG27" s="17">
        <v>1</v>
      </c>
      <c r="KH27" s="17">
        <v>1</v>
      </c>
      <c r="KI27" s="17">
        <v>1</v>
      </c>
      <c r="KJ27" s="17">
        <v>1</v>
      </c>
      <c r="KK27" s="17">
        <v>1</v>
      </c>
      <c r="KL27" s="17">
        <v>1</v>
      </c>
      <c r="KM27" s="17">
        <v>1</v>
      </c>
      <c r="KN27" s="17">
        <v>1</v>
      </c>
      <c r="KO27" s="17">
        <v>1</v>
      </c>
      <c r="KP27" s="17">
        <v>1</v>
      </c>
      <c r="KQ27" s="17">
        <v>1</v>
      </c>
      <c r="KR27" s="17">
        <v>1</v>
      </c>
      <c r="KS27" s="17">
        <v>1</v>
      </c>
      <c r="KT27" s="17">
        <v>1</v>
      </c>
      <c r="KU27" s="17">
        <v>1</v>
      </c>
      <c r="KV27" s="17">
        <v>1</v>
      </c>
      <c r="KW27" s="17">
        <v>1</v>
      </c>
      <c r="KX27" s="17">
        <v>1</v>
      </c>
      <c r="KY27" s="17">
        <v>1</v>
      </c>
      <c r="KZ27" s="17">
        <v>1</v>
      </c>
      <c r="LA27" s="17">
        <v>1</v>
      </c>
      <c r="LB27" s="17">
        <v>1</v>
      </c>
      <c r="LC27" s="17">
        <v>1</v>
      </c>
      <c r="LD27" s="17">
        <v>1</v>
      </c>
      <c r="LE27" s="17">
        <v>1</v>
      </c>
      <c r="LF27" s="17">
        <v>1</v>
      </c>
      <c r="LG27" s="17">
        <v>1</v>
      </c>
      <c r="LH27" s="17">
        <v>1</v>
      </c>
      <c r="LI27" s="17">
        <v>1</v>
      </c>
      <c r="LJ27" s="17">
        <v>1</v>
      </c>
      <c r="LK27" s="17">
        <v>1</v>
      </c>
      <c r="LL27" s="17">
        <v>1</v>
      </c>
      <c r="LM27" s="17">
        <v>1</v>
      </c>
      <c r="LN27" s="17">
        <v>1</v>
      </c>
      <c r="LO27" s="17">
        <v>1</v>
      </c>
      <c r="LP27" s="17">
        <v>1</v>
      </c>
      <c r="LQ27" s="17">
        <v>1</v>
      </c>
      <c r="LR27" s="17">
        <v>1</v>
      </c>
      <c r="LS27" s="17">
        <v>1</v>
      </c>
      <c r="LT27" s="17">
        <v>1</v>
      </c>
      <c r="LU27" s="17">
        <v>1</v>
      </c>
      <c r="LV27" s="17">
        <v>1</v>
      </c>
      <c r="LW27" s="17">
        <v>1</v>
      </c>
      <c r="LX27" s="17">
        <v>1</v>
      </c>
      <c r="LY27" s="17">
        <v>1</v>
      </c>
      <c r="LZ27" s="17">
        <v>1</v>
      </c>
      <c r="MA27" s="17"/>
      <c r="MB27" s="17">
        <v>1</v>
      </c>
      <c r="MC27" s="17">
        <v>1</v>
      </c>
      <c r="MD27" s="17">
        <v>1</v>
      </c>
      <c r="ME27" s="17">
        <v>1</v>
      </c>
      <c r="MF27" s="17">
        <v>1</v>
      </c>
      <c r="MG27" s="17">
        <v>1</v>
      </c>
      <c r="MH27" s="17">
        <v>1</v>
      </c>
      <c r="MI27" s="17"/>
      <c r="MJ27" s="17">
        <v>1</v>
      </c>
      <c r="MK27" s="17">
        <v>1</v>
      </c>
      <c r="ML27" s="17">
        <v>1</v>
      </c>
      <c r="MM27" s="17">
        <v>1</v>
      </c>
      <c r="MN27" s="17">
        <v>1</v>
      </c>
      <c r="MO27" s="17">
        <v>1</v>
      </c>
      <c r="MP27" s="17">
        <v>1</v>
      </c>
      <c r="MQ27" s="17">
        <v>1</v>
      </c>
      <c r="MR27" s="17">
        <v>1</v>
      </c>
      <c r="MS27" s="17">
        <v>1</v>
      </c>
      <c r="MT27" s="17"/>
      <c r="MU27" s="17"/>
      <c r="MV27" s="17"/>
      <c r="MW27" s="17">
        <v>1</v>
      </c>
      <c r="MX27" s="17">
        <v>1</v>
      </c>
      <c r="MY27" s="17">
        <v>1</v>
      </c>
      <c r="MZ27" s="17"/>
      <c r="NA27" s="17"/>
      <c r="NB27" s="17">
        <v>1</v>
      </c>
      <c r="NC27" s="17">
        <v>1</v>
      </c>
      <c r="ND27" s="17">
        <v>1</v>
      </c>
      <c r="NE27" s="17">
        <v>1</v>
      </c>
      <c r="NF27" s="17">
        <v>1</v>
      </c>
      <c r="NG27" s="17">
        <v>1</v>
      </c>
      <c r="NH27" s="17">
        <v>1</v>
      </c>
      <c r="NI27" s="17">
        <v>1</v>
      </c>
      <c r="NJ27" s="17">
        <v>1</v>
      </c>
      <c r="NK27" s="17">
        <v>1</v>
      </c>
      <c r="NL27" s="17">
        <v>1</v>
      </c>
      <c r="NM27" s="17">
        <v>1</v>
      </c>
      <c r="NN27" s="17">
        <v>1</v>
      </c>
      <c r="NO27" s="17">
        <v>1</v>
      </c>
      <c r="NP27" s="17">
        <v>1</v>
      </c>
      <c r="NQ27" s="17">
        <v>1</v>
      </c>
      <c r="NR27" s="17">
        <v>1</v>
      </c>
      <c r="NS27" s="17">
        <v>1</v>
      </c>
      <c r="NT27" s="17">
        <v>1</v>
      </c>
      <c r="NU27" s="17">
        <v>1</v>
      </c>
      <c r="NV27" s="17">
        <v>1</v>
      </c>
      <c r="NW27" s="17">
        <v>1</v>
      </c>
      <c r="NX27" s="17">
        <v>1</v>
      </c>
      <c r="NY27" s="17">
        <v>1</v>
      </c>
      <c r="NZ27" s="17">
        <v>1</v>
      </c>
      <c r="OA27" s="17">
        <v>1</v>
      </c>
      <c r="OB27" s="17">
        <v>1</v>
      </c>
      <c r="OC27" s="17"/>
      <c r="OD27" s="17">
        <v>1</v>
      </c>
      <c r="OE27" s="17">
        <v>1</v>
      </c>
      <c r="OF27" s="17">
        <v>1</v>
      </c>
      <c r="OG27" s="17">
        <v>1</v>
      </c>
      <c r="OH27" s="17">
        <v>1</v>
      </c>
      <c r="OI27" s="17">
        <v>1</v>
      </c>
      <c r="OJ27" s="17">
        <v>1</v>
      </c>
      <c r="OK27" s="17">
        <v>1</v>
      </c>
      <c r="OL27" s="17">
        <v>1</v>
      </c>
      <c r="OM27" s="17">
        <v>1</v>
      </c>
      <c r="ON27" s="17">
        <v>1</v>
      </c>
      <c r="OO27" s="17"/>
      <c r="OP27" s="17">
        <v>1</v>
      </c>
      <c r="OQ27" s="17"/>
      <c r="OR27" s="17"/>
      <c r="OS27" s="17"/>
      <c r="OT27" s="17">
        <v>1</v>
      </c>
      <c r="OU27" s="17">
        <v>1</v>
      </c>
      <c r="OV27" s="17">
        <v>1</v>
      </c>
      <c r="OW27" s="17">
        <v>1</v>
      </c>
      <c r="OX27" s="17"/>
      <c r="OY27" s="17"/>
      <c r="OZ27" s="17"/>
      <c r="PA27" s="17"/>
      <c r="PB27" s="17"/>
      <c r="PC27" s="17"/>
      <c r="PD27" s="17">
        <v>1</v>
      </c>
      <c r="PE27" s="17">
        <v>1</v>
      </c>
      <c r="PF27" s="17">
        <v>1</v>
      </c>
      <c r="PG27" s="17">
        <v>1</v>
      </c>
      <c r="PH27" s="17">
        <v>1</v>
      </c>
      <c r="PI27" s="17">
        <v>1</v>
      </c>
      <c r="PJ27" s="17">
        <v>1</v>
      </c>
      <c r="PK27" s="17">
        <v>1</v>
      </c>
      <c r="PL27" s="17">
        <v>1</v>
      </c>
      <c r="PM27" s="17">
        <v>1</v>
      </c>
      <c r="PN27" s="17">
        <v>1</v>
      </c>
      <c r="PO27" s="17">
        <v>1</v>
      </c>
      <c r="PP27" s="17">
        <v>1</v>
      </c>
      <c r="PQ27" s="17">
        <v>1</v>
      </c>
      <c r="PR27" s="17">
        <v>1</v>
      </c>
      <c r="PS27" s="17">
        <v>1</v>
      </c>
      <c r="PT27" s="17">
        <v>1</v>
      </c>
      <c r="PU27" s="17"/>
      <c r="PV27" s="17"/>
      <c r="PW27" s="17" t="s">
        <v>506</v>
      </c>
      <c r="PX27" s="17" t="s">
        <v>506</v>
      </c>
      <c r="PY27" s="17" t="s">
        <v>506</v>
      </c>
      <c r="PZ27" s="17" t="s">
        <v>507</v>
      </c>
      <c r="QA27" s="17" t="s">
        <v>506</v>
      </c>
      <c r="QB27" s="17" t="s">
        <v>507</v>
      </c>
      <c r="QC27" s="17" t="s">
        <v>506</v>
      </c>
      <c r="QD27" s="17" t="s">
        <v>508</v>
      </c>
      <c r="QE27" s="17" t="s">
        <v>508</v>
      </c>
      <c r="QF27" s="17" t="s">
        <v>508</v>
      </c>
      <c r="QG27" s="17" t="s">
        <v>508</v>
      </c>
      <c r="QH27" s="17" t="s">
        <v>508</v>
      </c>
      <c r="QI27" s="17">
        <v>1</v>
      </c>
      <c r="QJ27" s="17">
        <v>0</v>
      </c>
      <c r="QK27" s="17">
        <v>0</v>
      </c>
      <c r="QL27" s="17">
        <v>1</v>
      </c>
      <c r="QM27" s="17">
        <v>0</v>
      </c>
      <c r="QN27" s="17">
        <v>1</v>
      </c>
      <c r="QO27" s="17">
        <v>1</v>
      </c>
      <c r="QP27" s="17">
        <v>1</v>
      </c>
      <c r="QQ27" s="17">
        <v>1</v>
      </c>
      <c r="QR27" s="17">
        <v>1</v>
      </c>
      <c r="QS27" s="17">
        <v>1</v>
      </c>
      <c r="QT27" s="17">
        <v>1</v>
      </c>
      <c r="QU27" s="17">
        <v>1</v>
      </c>
      <c r="QV27" s="17">
        <v>0</v>
      </c>
      <c r="QW27" s="17">
        <v>0</v>
      </c>
      <c r="QX27" s="17">
        <v>0</v>
      </c>
      <c r="QY27" s="17">
        <v>1</v>
      </c>
      <c r="QZ27" s="17">
        <v>1</v>
      </c>
      <c r="RA27" s="17">
        <v>1</v>
      </c>
      <c r="RB27" s="17">
        <v>1</v>
      </c>
      <c r="RC27" s="17">
        <v>1</v>
      </c>
      <c r="RD27" s="17">
        <v>1</v>
      </c>
      <c r="RE27" s="17">
        <v>1</v>
      </c>
      <c r="RF27" s="17">
        <v>0</v>
      </c>
      <c r="RG27" s="17">
        <v>0</v>
      </c>
      <c r="RH27" s="17">
        <v>1</v>
      </c>
      <c r="RI27" s="17">
        <v>0</v>
      </c>
      <c r="RJ27" s="17">
        <v>0</v>
      </c>
      <c r="RK27" s="17">
        <v>0</v>
      </c>
      <c r="RL27" s="17">
        <v>0</v>
      </c>
      <c r="RM27" s="17">
        <v>0</v>
      </c>
      <c r="RN27" s="17">
        <v>1</v>
      </c>
      <c r="RO27" s="17">
        <v>0</v>
      </c>
      <c r="RP27" s="17">
        <v>0</v>
      </c>
      <c r="RQ27" s="17">
        <v>0</v>
      </c>
      <c r="RR27" s="17">
        <v>0</v>
      </c>
      <c r="RS27" s="17">
        <v>1</v>
      </c>
      <c r="RT27" s="17">
        <v>0</v>
      </c>
      <c r="RU27" s="17">
        <v>1</v>
      </c>
      <c r="RV27" s="17">
        <v>0</v>
      </c>
      <c r="RW27" s="17">
        <v>1</v>
      </c>
      <c r="RX27" s="17">
        <v>1</v>
      </c>
      <c r="RY27" s="17">
        <v>1</v>
      </c>
      <c r="RZ27" s="17">
        <v>0</v>
      </c>
      <c r="SA27" s="17">
        <v>1</v>
      </c>
      <c r="SB27" s="17">
        <v>0</v>
      </c>
      <c r="SC27" s="17">
        <v>0</v>
      </c>
      <c r="SD27" s="17">
        <v>0</v>
      </c>
      <c r="SE27" s="17">
        <v>1</v>
      </c>
      <c r="SF27" s="17">
        <v>1</v>
      </c>
      <c r="SG27" s="17">
        <v>1</v>
      </c>
      <c r="SH27" s="17">
        <v>1</v>
      </c>
      <c r="SI27" s="17">
        <v>10027</v>
      </c>
      <c r="SJ27" s="19">
        <f t="shared" si="3"/>
        <v>355</v>
      </c>
      <c r="SK27" s="19">
        <f t="shared" si="0"/>
        <v>356</v>
      </c>
      <c r="SL27" s="19">
        <f t="shared" si="1"/>
        <v>1</v>
      </c>
      <c r="SM27" s="9">
        <v>10027</v>
      </c>
      <c r="SN27" s="9" t="s">
        <v>504</v>
      </c>
      <c r="SO27" s="10">
        <v>2</v>
      </c>
      <c r="SP27" s="9">
        <v>2</v>
      </c>
      <c r="SQ27" s="11" t="s">
        <v>517</v>
      </c>
      <c r="SR27" s="9">
        <v>18</v>
      </c>
      <c r="SS27" s="28">
        <v>66</v>
      </c>
      <c r="ST27" s="28">
        <v>16</v>
      </c>
      <c r="SU27" s="28">
        <v>358</v>
      </c>
      <c r="SV27" s="28">
        <v>99</v>
      </c>
      <c r="SW27" s="28">
        <v>1</v>
      </c>
      <c r="SX27" s="28">
        <v>5</v>
      </c>
      <c r="SY27" s="29">
        <v>35</v>
      </c>
      <c r="SZ27" s="30">
        <v>28</v>
      </c>
      <c r="TA27" s="31">
        <v>27</v>
      </c>
      <c r="TB27" s="31">
        <v>90</v>
      </c>
    </row>
    <row r="28" spans="1:522" ht="15.75" customHeight="1" x14ac:dyDescent="0.2">
      <c r="A28" s="17">
        <v>10028</v>
      </c>
      <c r="B28" s="17" t="s">
        <v>501</v>
      </c>
      <c r="C28" s="17" t="s">
        <v>502</v>
      </c>
      <c r="D28" s="17" t="s">
        <v>503</v>
      </c>
      <c r="E28" s="17" t="s">
        <v>504</v>
      </c>
      <c r="F28" s="18">
        <v>38012</v>
      </c>
      <c r="G28" s="18">
        <v>38548</v>
      </c>
      <c r="H28" s="14">
        <f t="shared" si="2"/>
        <v>17</v>
      </c>
      <c r="I28" s="17" t="s">
        <v>505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/>
      <c r="Q28" s="17">
        <v>1</v>
      </c>
      <c r="R28" s="17">
        <v>1</v>
      </c>
      <c r="S28" s="17">
        <v>1</v>
      </c>
      <c r="T28" s="17">
        <v>1</v>
      </c>
      <c r="U28" s="17"/>
      <c r="V28" s="17">
        <v>1</v>
      </c>
      <c r="W28" s="17"/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/>
      <c r="AH28" s="17">
        <v>1</v>
      </c>
      <c r="AI28" s="17"/>
      <c r="AJ28" s="17">
        <v>1</v>
      </c>
      <c r="AK28" s="17">
        <v>1</v>
      </c>
      <c r="AL28" s="17">
        <v>1</v>
      </c>
      <c r="AM28" s="17"/>
      <c r="AN28" s="17">
        <v>1</v>
      </c>
      <c r="AO28" s="17" t="s">
        <v>507</v>
      </c>
      <c r="AP28" s="17" t="s">
        <v>507</v>
      </c>
      <c r="AQ28" s="17"/>
      <c r="AR28" s="17"/>
      <c r="AS28" s="17">
        <v>1</v>
      </c>
      <c r="AT28" s="17"/>
      <c r="AU28" s="17">
        <v>2</v>
      </c>
      <c r="AV28" s="17">
        <v>1</v>
      </c>
      <c r="AW28" s="17">
        <v>1</v>
      </c>
      <c r="AX28" s="17">
        <v>2</v>
      </c>
      <c r="AY28" s="17">
        <v>2</v>
      </c>
      <c r="AZ28" s="17">
        <v>1</v>
      </c>
      <c r="BA28" s="17">
        <v>2</v>
      </c>
      <c r="BB28" s="17">
        <v>2</v>
      </c>
      <c r="BC28" s="17">
        <v>1</v>
      </c>
      <c r="BD28" s="17">
        <v>2</v>
      </c>
      <c r="BE28" s="17">
        <v>2</v>
      </c>
      <c r="BF28" s="17">
        <v>2</v>
      </c>
      <c r="BG28" s="17"/>
      <c r="BH28" s="17">
        <v>1</v>
      </c>
      <c r="BI28" s="17">
        <v>1</v>
      </c>
      <c r="BJ28" s="17">
        <v>2</v>
      </c>
      <c r="BK28" s="17">
        <v>1</v>
      </c>
      <c r="BL28" s="17">
        <v>1</v>
      </c>
      <c r="BM28" s="17"/>
      <c r="BN28" s="17">
        <v>2</v>
      </c>
      <c r="BO28" s="17"/>
      <c r="BP28" s="17">
        <v>2</v>
      </c>
      <c r="BQ28" s="17">
        <v>1</v>
      </c>
      <c r="BR28" s="17">
        <v>2</v>
      </c>
      <c r="BS28" s="17">
        <v>1</v>
      </c>
      <c r="BT28" s="17"/>
      <c r="BU28" s="17"/>
      <c r="BV28" s="17"/>
      <c r="BW28" s="17"/>
      <c r="BX28" s="17"/>
      <c r="BY28" s="17"/>
      <c r="BZ28" s="17"/>
      <c r="CA28" s="17">
        <v>2</v>
      </c>
      <c r="CB28" s="17"/>
      <c r="CC28" s="17"/>
      <c r="CD28" s="17">
        <v>1</v>
      </c>
      <c r="CE28" s="17"/>
      <c r="CF28" s="17"/>
      <c r="CG28" s="17"/>
      <c r="CH28" s="17"/>
      <c r="CI28" s="17"/>
      <c r="CJ28" s="17">
        <v>1</v>
      </c>
      <c r="CK28" s="17"/>
      <c r="CL28" s="17">
        <v>1</v>
      </c>
      <c r="CM28" s="17">
        <v>2</v>
      </c>
      <c r="CN28" s="17">
        <v>1</v>
      </c>
      <c r="CO28" s="17"/>
      <c r="CP28" s="17">
        <v>1</v>
      </c>
      <c r="CQ28" s="17">
        <v>2</v>
      </c>
      <c r="CR28" s="17"/>
      <c r="CS28" s="17"/>
      <c r="CT28" s="17"/>
      <c r="CU28" s="17">
        <v>1</v>
      </c>
      <c r="CV28" s="17">
        <v>2</v>
      </c>
      <c r="CW28" s="17">
        <v>2</v>
      </c>
      <c r="CX28" s="17">
        <v>2</v>
      </c>
      <c r="CY28" s="17">
        <v>2</v>
      </c>
      <c r="CZ28" s="17">
        <v>1</v>
      </c>
      <c r="DA28" s="17"/>
      <c r="DB28" s="17"/>
      <c r="DC28" s="17"/>
      <c r="DD28" s="17"/>
      <c r="DE28" s="17">
        <v>2</v>
      </c>
      <c r="DF28" s="17"/>
      <c r="DG28" s="17"/>
      <c r="DH28" s="17"/>
      <c r="DI28" s="17"/>
      <c r="DJ28" s="17"/>
      <c r="DK28" s="17">
        <v>1</v>
      </c>
      <c r="DL28" s="17">
        <v>1</v>
      </c>
      <c r="DM28" s="17">
        <v>1</v>
      </c>
      <c r="DN28" s="17">
        <v>1</v>
      </c>
      <c r="DO28" s="17"/>
      <c r="DP28" s="17"/>
      <c r="DQ28" s="17"/>
      <c r="DR28" s="17"/>
      <c r="DS28" s="17"/>
      <c r="DT28" s="17"/>
      <c r="DU28" s="17">
        <v>1</v>
      </c>
      <c r="DV28" s="17"/>
      <c r="DW28" s="17"/>
      <c r="DX28" s="17"/>
      <c r="DY28" s="17">
        <v>2</v>
      </c>
      <c r="DZ28" s="17"/>
      <c r="EA28" s="17">
        <v>1</v>
      </c>
      <c r="EB28" s="17">
        <v>2</v>
      </c>
      <c r="EC28" s="17"/>
      <c r="ED28" s="17"/>
      <c r="EE28" s="17">
        <v>2</v>
      </c>
      <c r="EF28" s="17">
        <v>2</v>
      </c>
      <c r="EG28" s="17">
        <v>1</v>
      </c>
      <c r="EH28" s="17"/>
      <c r="EI28" s="17">
        <v>1</v>
      </c>
      <c r="EJ28" s="17"/>
      <c r="EK28" s="17"/>
      <c r="EL28" s="17"/>
      <c r="EM28" s="17">
        <v>1</v>
      </c>
      <c r="EN28" s="17"/>
      <c r="EO28" s="17">
        <v>2</v>
      </c>
      <c r="EP28" s="17"/>
      <c r="EQ28" s="17"/>
      <c r="ER28" s="17"/>
      <c r="ES28" s="17">
        <v>1</v>
      </c>
      <c r="ET28" s="17">
        <v>1</v>
      </c>
      <c r="EU28" s="17">
        <v>1</v>
      </c>
      <c r="EV28" s="17">
        <v>2</v>
      </c>
      <c r="EW28" s="17">
        <v>1</v>
      </c>
      <c r="EX28" s="17">
        <v>2</v>
      </c>
      <c r="EY28" s="17"/>
      <c r="EZ28" s="17"/>
      <c r="FA28" s="17"/>
      <c r="FB28" s="17"/>
      <c r="FC28" s="17"/>
      <c r="FD28" s="17">
        <v>1</v>
      </c>
      <c r="FE28" s="17">
        <v>2</v>
      </c>
      <c r="FF28" s="17">
        <v>1</v>
      </c>
      <c r="FG28" s="17">
        <v>1</v>
      </c>
      <c r="FH28" s="17"/>
      <c r="FI28" s="17">
        <v>1</v>
      </c>
      <c r="FJ28" s="17">
        <v>1</v>
      </c>
      <c r="FK28" s="17">
        <v>1</v>
      </c>
      <c r="FL28" s="17"/>
      <c r="FM28" s="17"/>
      <c r="FN28" s="17">
        <v>1</v>
      </c>
      <c r="FO28" s="17">
        <v>2</v>
      </c>
      <c r="FP28" s="17"/>
      <c r="FQ28" s="17">
        <v>1</v>
      </c>
      <c r="FR28" s="17">
        <v>2</v>
      </c>
      <c r="FS28" s="17">
        <v>1</v>
      </c>
      <c r="FT28" s="17">
        <v>1</v>
      </c>
      <c r="FU28" s="17">
        <v>1</v>
      </c>
      <c r="FV28" s="17">
        <v>1</v>
      </c>
      <c r="FW28" s="17"/>
      <c r="FX28" s="17"/>
      <c r="FY28" s="17">
        <v>1</v>
      </c>
      <c r="FZ28" s="17">
        <v>1</v>
      </c>
      <c r="GA28" s="17"/>
      <c r="GB28" s="17"/>
      <c r="GC28" s="17">
        <v>1</v>
      </c>
      <c r="GD28" s="17"/>
      <c r="GE28" s="17">
        <v>1</v>
      </c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>
        <v>1</v>
      </c>
      <c r="GQ28" s="17">
        <v>1</v>
      </c>
      <c r="GR28" s="17"/>
      <c r="GS28" s="17"/>
      <c r="GT28" s="17"/>
      <c r="GU28" s="17"/>
      <c r="GV28" s="17"/>
      <c r="GW28" s="17"/>
      <c r="GX28" s="17">
        <v>1</v>
      </c>
      <c r="GY28" s="17">
        <v>1</v>
      </c>
      <c r="GZ28" s="17">
        <v>1</v>
      </c>
      <c r="HA28" s="17">
        <v>1</v>
      </c>
      <c r="HB28" s="17">
        <v>1</v>
      </c>
      <c r="HC28" s="17"/>
      <c r="HD28" s="17"/>
      <c r="HE28" s="17">
        <v>1</v>
      </c>
      <c r="HF28" s="17"/>
      <c r="HG28" s="17">
        <v>1</v>
      </c>
      <c r="HH28" s="17">
        <v>1</v>
      </c>
      <c r="HI28" s="17">
        <v>1</v>
      </c>
      <c r="HJ28" s="17">
        <v>1</v>
      </c>
      <c r="HK28" s="17">
        <v>1</v>
      </c>
      <c r="HL28" s="17">
        <v>1</v>
      </c>
      <c r="HM28" s="17"/>
      <c r="HN28" s="17">
        <v>1</v>
      </c>
      <c r="HO28" s="17">
        <v>1</v>
      </c>
      <c r="HP28" s="17">
        <v>1</v>
      </c>
      <c r="HQ28" s="17">
        <v>1</v>
      </c>
      <c r="HR28" s="17"/>
      <c r="HS28" s="17"/>
      <c r="HT28" s="17">
        <v>1</v>
      </c>
      <c r="HU28" s="17">
        <v>1</v>
      </c>
      <c r="HV28" s="17"/>
      <c r="HW28" s="17">
        <v>1</v>
      </c>
      <c r="HX28" s="17"/>
      <c r="HY28" s="17"/>
      <c r="HZ28" s="17">
        <v>1</v>
      </c>
      <c r="IA28" s="17">
        <v>1</v>
      </c>
      <c r="IB28" s="17">
        <v>1</v>
      </c>
      <c r="IC28" s="17">
        <v>1</v>
      </c>
      <c r="ID28" s="17"/>
      <c r="IE28" s="17"/>
      <c r="IF28" s="17">
        <v>1</v>
      </c>
      <c r="IG28" s="17"/>
      <c r="IH28" s="17">
        <v>1</v>
      </c>
      <c r="II28" s="17">
        <v>1</v>
      </c>
      <c r="IJ28" s="17">
        <v>2</v>
      </c>
      <c r="IK28" s="17">
        <v>1</v>
      </c>
      <c r="IL28" s="17">
        <v>1</v>
      </c>
      <c r="IM28" s="17"/>
      <c r="IN28" s="17">
        <v>1</v>
      </c>
      <c r="IO28" s="17"/>
      <c r="IP28" s="17"/>
      <c r="IQ28" s="17"/>
      <c r="IR28" s="17"/>
      <c r="IS28" s="17">
        <v>2</v>
      </c>
      <c r="IT28" s="17">
        <v>1</v>
      </c>
      <c r="IU28" s="17"/>
      <c r="IV28" s="17"/>
      <c r="IW28" s="17">
        <v>1</v>
      </c>
      <c r="IX28" s="17">
        <v>1</v>
      </c>
      <c r="IY28" s="17">
        <v>1</v>
      </c>
      <c r="IZ28" s="17">
        <v>2</v>
      </c>
      <c r="JA28" s="17">
        <v>1</v>
      </c>
      <c r="JB28" s="17"/>
      <c r="JC28" s="17"/>
      <c r="JD28" s="17"/>
      <c r="JE28" s="17">
        <v>1</v>
      </c>
      <c r="JF28" s="17"/>
      <c r="JG28" s="17"/>
      <c r="JH28" s="17">
        <v>2</v>
      </c>
      <c r="JI28" s="17"/>
      <c r="JJ28" s="17"/>
      <c r="JK28" s="17">
        <v>2</v>
      </c>
      <c r="JL28" s="17">
        <v>1</v>
      </c>
      <c r="JM28" s="17">
        <v>2</v>
      </c>
      <c r="JN28" s="17">
        <v>2</v>
      </c>
      <c r="JO28" s="17"/>
      <c r="JP28" s="17"/>
      <c r="JQ28" s="17">
        <v>2</v>
      </c>
      <c r="JR28" s="17">
        <v>1</v>
      </c>
      <c r="JS28" s="17"/>
      <c r="JT28" s="17"/>
      <c r="JU28" s="17"/>
      <c r="JV28" s="17"/>
      <c r="JW28" s="17"/>
      <c r="JX28" s="17"/>
      <c r="JY28" s="17"/>
      <c r="JZ28" s="17">
        <v>2</v>
      </c>
      <c r="KA28" s="17"/>
      <c r="KB28" s="17">
        <v>1</v>
      </c>
      <c r="KC28" s="17">
        <v>1</v>
      </c>
      <c r="KD28" s="17">
        <v>2</v>
      </c>
      <c r="KE28" s="17"/>
      <c r="KF28" s="17">
        <v>1</v>
      </c>
      <c r="KG28" s="17"/>
      <c r="KH28" s="17">
        <v>2</v>
      </c>
      <c r="KI28" s="17">
        <v>1</v>
      </c>
      <c r="KJ28" s="17">
        <v>1</v>
      </c>
      <c r="KK28" s="17"/>
      <c r="KL28" s="17"/>
      <c r="KM28" s="17">
        <v>1</v>
      </c>
      <c r="KN28" s="17">
        <v>1</v>
      </c>
      <c r="KO28" s="17"/>
      <c r="KP28" s="17"/>
      <c r="KQ28" s="17">
        <v>1</v>
      </c>
      <c r="KR28" s="17"/>
      <c r="KS28" s="17"/>
      <c r="KT28" s="17"/>
      <c r="KU28" s="17">
        <v>1</v>
      </c>
      <c r="KV28" s="17"/>
      <c r="KW28" s="17"/>
      <c r="KX28" s="17"/>
      <c r="KY28" s="17">
        <v>1</v>
      </c>
      <c r="KZ28" s="17"/>
      <c r="LA28" s="17">
        <v>1</v>
      </c>
      <c r="LB28" s="17"/>
      <c r="LC28" s="17">
        <v>1</v>
      </c>
      <c r="LD28" s="17">
        <v>1</v>
      </c>
      <c r="LE28" s="17"/>
      <c r="LF28" s="17"/>
      <c r="LG28" s="17"/>
      <c r="LH28" s="17"/>
      <c r="LI28" s="17">
        <v>2</v>
      </c>
      <c r="LJ28" s="17">
        <v>1</v>
      </c>
      <c r="LK28" s="17">
        <v>1</v>
      </c>
      <c r="LL28" s="17">
        <v>2</v>
      </c>
      <c r="LM28" s="17"/>
      <c r="LN28" s="17">
        <v>2</v>
      </c>
      <c r="LO28" s="17">
        <v>2</v>
      </c>
      <c r="LP28" s="17">
        <v>1</v>
      </c>
      <c r="LQ28" s="17">
        <v>1</v>
      </c>
      <c r="LR28" s="17"/>
      <c r="LS28" s="17">
        <v>1</v>
      </c>
      <c r="LT28" s="17"/>
      <c r="LU28" s="17"/>
      <c r="LV28" s="17"/>
      <c r="LW28" s="17"/>
      <c r="LX28" s="17">
        <v>1</v>
      </c>
      <c r="LY28" s="17">
        <v>1</v>
      </c>
      <c r="LZ28" s="17">
        <v>1</v>
      </c>
      <c r="MA28" s="17"/>
      <c r="MB28" s="17"/>
      <c r="MC28" s="17">
        <v>1</v>
      </c>
      <c r="MD28" s="17"/>
      <c r="ME28" s="17">
        <v>1</v>
      </c>
      <c r="MF28" s="17"/>
      <c r="MG28" s="17">
        <v>1</v>
      </c>
      <c r="MH28" s="17">
        <v>1</v>
      </c>
      <c r="MI28" s="17">
        <v>1</v>
      </c>
      <c r="MJ28" s="17"/>
      <c r="MK28" s="17"/>
      <c r="ML28" s="17">
        <v>2</v>
      </c>
      <c r="MM28" s="17">
        <v>2</v>
      </c>
      <c r="MN28" s="17"/>
      <c r="MO28" s="17"/>
      <c r="MP28" s="17">
        <v>1</v>
      </c>
      <c r="MQ28" s="17"/>
      <c r="MR28" s="17">
        <v>1</v>
      </c>
      <c r="MS28" s="17"/>
      <c r="MT28" s="17"/>
      <c r="MU28" s="17"/>
      <c r="MV28" s="17"/>
      <c r="MW28" s="17"/>
      <c r="MX28" s="17"/>
      <c r="MY28" s="17"/>
      <c r="MZ28" s="17"/>
      <c r="NA28" s="17"/>
      <c r="NB28" s="17">
        <v>2</v>
      </c>
      <c r="NC28" s="17">
        <v>1</v>
      </c>
      <c r="ND28" s="17"/>
      <c r="NE28" s="17"/>
      <c r="NF28" s="17"/>
      <c r="NG28" s="17"/>
      <c r="NH28" s="17">
        <v>1</v>
      </c>
      <c r="NI28" s="17"/>
      <c r="NJ28" s="17"/>
      <c r="NK28" s="17"/>
      <c r="NL28" s="17"/>
      <c r="NM28" s="17"/>
      <c r="NN28" s="17"/>
      <c r="NO28" s="17"/>
      <c r="NP28" s="17"/>
      <c r="NQ28" s="17"/>
      <c r="NR28" s="17">
        <v>1</v>
      </c>
      <c r="NS28" s="17"/>
      <c r="NT28" s="17"/>
      <c r="NU28" s="17"/>
      <c r="NV28" s="17">
        <v>2</v>
      </c>
      <c r="NW28" s="17">
        <v>1</v>
      </c>
      <c r="NX28" s="17">
        <v>2</v>
      </c>
      <c r="NY28" s="17"/>
      <c r="NZ28" s="17"/>
      <c r="OA28" s="17"/>
      <c r="OB28" s="17"/>
      <c r="OC28" s="17"/>
      <c r="OD28" s="17"/>
      <c r="OE28" s="17">
        <v>1</v>
      </c>
      <c r="OF28" s="17"/>
      <c r="OG28" s="17">
        <v>1</v>
      </c>
      <c r="OH28" s="17"/>
      <c r="OI28" s="17">
        <v>1</v>
      </c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>
        <v>2</v>
      </c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>
        <v>1</v>
      </c>
      <c r="PG28" s="17"/>
      <c r="PH28" s="17"/>
      <c r="PI28" s="17"/>
      <c r="PJ28" s="17"/>
      <c r="PK28" s="17"/>
      <c r="PL28" s="17"/>
      <c r="PM28" s="17"/>
      <c r="PN28" s="17">
        <v>1</v>
      </c>
      <c r="PO28" s="17"/>
      <c r="PP28" s="17"/>
      <c r="PQ28" s="17"/>
      <c r="PR28" s="17"/>
      <c r="PS28" s="17"/>
      <c r="PT28" s="17"/>
      <c r="PU28" s="17"/>
      <c r="PV28" s="17"/>
      <c r="PW28" s="17" t="s">
        <v>506</v>
      </c>
      <c r="PX28" s="17" t="s">
        <v>507</v>
      </c>
      <c r="PY28" s="17" t="s">
        <v>510</v>
      </c>
      <c r="PZ28" s="17" t="s">
        <v>510</v>
      </c>
      <c r="QA28" s="17" t="s">
        <v>510</v>
      </c>
      <c r="QB28" s="17" t="s">
        <v>510</v>
      </c>
      <c r="QC28" s="17" t="s">
        <v>511</v>
      </c>
      <c r="QD28" s="17" t="s">
        <v>508</v>
      </c>
      <c r="QE28" s="17" t="s">
        <v>508</v>
      </c>
      <c r="QF28" s="17" t="s">
        <v>507</v>
      </c>
      <c r="QG28" s="17" t="s">
        <v>506</v>
      </c>
      <c r="QH28" s="17" t="s">
        <v>506</v>
      </c>
      <c r="QI28" s="17">
        <v>1</v>
      </c>
      <c r="QJ28" s="17">
        <v>1</v>
      </c>
      <c r="QK28" s="17">
        <v>2</v>
      </c>
      <c r="QL28" s="17">
        <v>1</v>
      </c>
      <c r="QM28" s="17">
        <v>2</v>
      </c>
      <c r="QN28" s="17">
        <v>1</v>
      </c>
      <c r="QO28" s="17">
        <v>1</v>
      </c>
      <c r="QP28" s="17">
        <v>1</v>
      </c>
      <c r="QQ28" s="17">
        <v>1</v>
      </c>
      <c r="QR28" s="17">
        <v>1</v>
      </c>
      <c r="QS28" s="17">
        <v>1</v>
      </c>
      <c r="QT28" s="17">
        <v>1</v>
      </c>
      <c r="QU28" s="17">
        <v>1</v>
      </c>
      <c r="QV28" s="17">
        <v>0</v>
      </c>
      <c r="QW28" s="17">
        <v>0</v>
      </c>
      <c r="QX28" s="17">
        <v>0</v>
      </c>
      <c r="QY28" s="17">
        <v>0</v>
      </c>
      <c r="QZ28" s="17">
        <v>1</v>
      </c>
      <c r="RA28" s="17">
        <v>1</v>
      </c>
      <c r="RB28" s="17">
        <v>1</v>
      </c>
      <c r="RC28" s="17">
        <v>1</v>
      </c>
      <c r="RD28" s="17">
        <v>0</v>
      </c>
      <c r="RE28" s="17">
        <v>1</v>
      </c>
      <c r="RF28" s="17">
        <v>0</v>
      </c>
      <c r="RG28" s="17">
        <v>0</v>
      </c>
      <c r="RH28" s="17">
        <v>1</v>
      </c>
      <c r="RI28" s="17">
        <v>1</v>
      </c>
      <c r="RJ28" s="17">
        <v>0</v>
      </c>
      <c r="RK28" s="17">
        <v>0</v>
      </c>
      <c r="RL28" s="17">
        <v>0</v>
      </c>
      <c r="RM28" s="17">
        <v>0</v>
      </c>
      <c r="RN28" s="17">
        <v>1</v>
      </c>
      <c r="RO28" s="17">
        <v>0</v>
      </c>
      <c r="RP28" s="17">
        <v>0</v>
      </c>
      <c r="RQ28" s="17">
        <v>0</v>
      </c>
      <c r="RR28" s="17">
        <v>0</v>
      </c>
      <c r="RS28" s="17">
        <v>1</v>
      </c>
      <c r="RT28" s="17">
        <v>0</v>
      </c>
      <c r="RU28" s="17">
        <v>1</v>
      </c>
      <c r="RV28" s="17">
        <v>0</v>
      </c>
      <c r="RW28" s="17">
        <v>0</v>
      </c>
      <c r="RX28" s="17">
        <v>1</v>
      </c>
      <c r="RY28" s="17">
        <v>1</v>
      </c>
      <c r="RZ28" s="17">
        <v>1</v>
      </c>
      <c r="SA28" s="17">
        <v>1</v>
      </c>
      <c r="SB28" s="17">
        <v>0</v>
      </c>
      <c r="SC28" s="17">
        <v>0</v>
      </c>
      <c r="SD28" s="17">
        <v>1</v>
      </c>
      <c r="SE28" s="17">
        <v>0</v>
      </c>
      <c r="SF28" s="17">
        <v>1</v>
      </c>
      <c r="SG28" s="17">
        <v>0</v>
      </c>
      <c r="SH28" s="17">
        <v>0</v>
      </c>
      <c r="SI28" s="17">
        <v>10028</v>
      </c>
      <c r="SJ28" s="19">
        <f t="shared" si="3"/>
        <v>123</v>
      </c>
      <c r="SK28" s="19">
        <f t="shared" si="0"/>
        <v>174</v>
      </c>
      <c r="SL28" s="19">
        <f t="shared" si="1"/>
        <v>51</v>
      </c>
      <c r="SM28" s="9">
        <v>10028</v>
      </c>
      <c r="SN28" s="9" t="s">
        <v>504</v>
      </c>
      <c r="SO28" s="10">
        <v>1</v>
      </c>
      <c r="SP28" s="9">
        <v>1</v>
      </c>
      <c r="SQ28" s="11" t="s">
        <v>517</v>
      </c>
      <c r="SR28" s="9">
        <v>16</v>
      </c>
      <c r="SS28" s="28">
        <v>58</v>
      </c>
      <c r="ST28" s="28">
        <v>17</v>
      </c>
      <c r="SU28" s="28">
        <v>176</v>
      </c>
      <c r="SV28" s="28">
        <v>34</v>
      </c>
      <c r="SW28" s="28">
        <v>52</v>
      </c>
      <c r="SX28" s="28">
        <v>50</v>
      </c>
      <c r="SY28" s="29">
        <v>36</v>
      </c>
      <c r="SZ28" s="30">
        <v>18</v>
      </c>
      <c r="TA28" s="31">
        <v>23</v>
      </c>
      <c r="TB28" s="31">
        <v>50</v>
      </c>
    </row>
    <row r="29" spans="1:522" ht="15.75" customHeight="1" x14ac:dyDescent="0.2">
      <c r="A29" s="17">
        <v>10029</v>
      </c>
      <c r="B29" s="17" t="s">
        <v>501</v>
      </c>
      <c r="C29" s="17" t="s">
        <v>502</v>
      </c>
      <c r="D29" s="17" t="s">
        <v>503</v>
      </c>
      <c r="E29" s="17" t="s">
        <v>509</v>
      </c>
      <c r="F29" s="18">
        <v>38027</v>
      </c>
      <c r="G29" s="18">
        <v>38565</v>
      </c>
      <c r="H29" s="14">
        <f t="shared" si="2"/>
        <v>17</v>
      </c>
      <c r="I29" s="17" t="s">
        <v>505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/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 t="s">
        <v>506</v>
      </c>
      <c r="AP29" s="17" t="s">
        <v>507</v>
      </c>
      <c r="AQ29" s="17">
        <v>2</v>
      </c>
      <c r="AR29" s="17">
        <v>2</v>
      </c>
      <c r="AS29" s="17">
        <v>2</v>
      </c>
      <c r="AT29" s="17">
        <v>2</v>
      </c>
      <c r="AU29" s="17">
        <v>2</v>
      </c>
      <c r="AV29" s="17">
        <v>2</v>
      </c>
      <c r="AW29" s="17">
        <v>2</v>
      </c>
      <c r="AX29" s="17">
        <v>2</v>
      </c>
      <c r="AY29" s="17">
        <v>2</v>
      </c>
      <c r="AZ29" s="17"/>
      <c r="BA29" s="17">
        <v>2</v>
      </c>
      <c r="BB29" s="17"/>
      <c r="BC29" s="17">
        <v>2</v>
      </c>
      <c r="BD29" s="17">
        <v>2</v>
      </c>
      <c r="BE29" s="17"/>
      <c r="BF29" s="17">
        <v>2</v>
      </c>
      <c r="BG29" s="17"/>
      <c r="BH29" s="17">
        <v>2</v>
      </c>
      <c r="BI29" s="17">
        <v>2</v>
      </c>
      <c r="BJ29" s="17">
        <v>2</v>
      </c>
      <c r="BK29" s="17">
        <v>1</v>
      </c>
      <c r="BL29" s="17">
        <v>2</v>
      </c>
      <c r="BM29" s="17"/>
      <c r="BN29" s="17">
        <v>2</v>
      </c>
      <c r="BO29" s="17">
        <v>2</v>
      </c>
      <c r="BP29" s="17">
        <v>2</v>
      </c>
      <c r="BQ29" s="17">
        <v>2</v>
      </c>
      <c r="BR29" s="17">
        <v>2</v>
      </c>
      <c r="BS29" s="17">
        <v>2</v>
      </c>
      <c r="BT29" s="17"/>
      <c r="BU29" s="17"/>
      <c r="BV29" s="17">
        <v>2</v>
      </c>
      <c r="BW29" s="17">
        <v>2</v>
      </c>
      <c r="BX29" s="17"/>
      <c r="BY29" s="17">
        <v>1</v>
      </c>
      <c r="BZ29" s="17">
        <v>2</v>
      </c>
      <c r="CA29" s="17">
        <v>1</v>
      </c>
      <c r="CB29" s="17">
        <v>2</v>
      </c>
      <c r="CC29" s="17">
        <v>1</v>
      </c>
      <c r="CD29" s="17"/>
      <c r="CE29" s="17"/>
      <c r="CF29" s="17">
        <v>2</v>
      </c>
      <c r="CG29" s="17">
        <v>2</v>
      </c>
      <c r="CH29" s="17"/>
      <c r="CI29" s="17">
        <v>1</v>
      </c>
      <c r="CJ29" s="17">
        <v>2</v>
      </c>
      <c r="CK29" s="17">
        <v>1</v>
      </c>
      <c r="CL29" s="17">
        <v>2</v>
      </c>
      <c r="CM29" s="17">
        <v>2</v>
      </c>
      <c r="CN29" s="17">
        <v>1</v>
      </c>
      <c r="CO29" s="17">
        <v>2</v>
      </c>
      <c r="CP29" s="17">
        <v>2</v>
      </c>
      <c r="CQ29" s="17"/>
      <c r="CR29" s="17"/>
      <c r="CS29" s="17">
        <v>1</v>
      </c>
      <c r="CT29" s="17">
        <v>1</v>
      </c>
      <c r="CU29" s="17">
        <v>1</v>
      </c>
      <c r="CV29" s="17">
        <v>2</v>
      </c>
      <c r="CW29" s="17">
        <v>2</v>
      </c>
      <c r="CX29" s="17">
        <v>2</v>
      </c>
      <c r="CY29" s="17">
        <v>2</v>
      </c>
      <c r="CZ29" s="17"/>
      <c r="DA29" s="17"/>
      <c r="DB29" s="17"/>
      <c r="DC29" s="17"/>
      <c r="DD29" s="17">
        <v>2</v>
      </c>
      <c r="DE29" s="17">
        <v>2</v>
      </c>
      <c r="DF29" s="17">
        <v>1</v>
      </c>
      <c r="DG29" s="17">
        <v>2</v>
      </c>
      <c r="DH29" s="17"/>
      <c r="DI29" s="17"/>
      <c r="DJ29" s="17">
        <v>1</v>
      </c>
      <c r="DK29" s="17">
        <v>2</v>
      </c>
      <c r="DL29" s="17"/>
      <c r="DM29" s="17">
        <v>1</v>
      </c>
      <c r="DN29" s="17">
        <v>1</v>
      </c>
      <c r="DO29" s="17"/>
      <c r="DP29" s="17">
        <v>1</v>
      </c>
      <c r="DQ29" s="17">
        <v>2</v>
      </c>
      <c r="DR29" s="17"/>
      <c r="DS29" s="17">
        <v>2</v>
      </c>
      <c r="DT29" s="17">
        <v>1</v>
      </c>
      <c r="DU29" s="17"/>
      <c r="DV29" s="17">
        <v>1</v>
      </c>
      <c r="DW29" s="17">
        <v>2</v>
      </c>
      <c r="DX29" s="17"/>
      <c r="DY29" s="17">
        <v>1</v>
      </c>
      <c r="DZ29" s="17">
        <v>1</v>
      </c>
      <c r="EA29" s="17">
        <v>1</v>
      </c>
      <c r="EB29" s="17"/>
      <c r="EC29" s="17"/>
      <c r="ED29" s="17"/>
      <c r="EE29" s="17"/>
      <c r="EF29" s="17"/>
      <c r="EG29" s="17">
        <v>2</v>
      </c>
      <c r="EH29" s="17"/>
      <c r="EI29" s="17"/>
      <c r="EJ29" s="17"/>
      <c r="EK29" s="17"/>
      <c r="EL29" s="17">
        <v>1</v>
      </c>
      <c r="EM29" s="17">
        <v>1</v>
      </c>
      <c r="EN29" s="17">
        <v>1</v>
      </c>
      <c r="EO29" s="17">
        <v>2</v>
      </c>
      <c r="EP29" s="17">
        <v>2</v>
      </c>
      <c r="EQ29" s="17"/>
      <c r="ER29" s="17">
        <v>1</v>
      </c>
      <c r="ES29" s="17">
        <v>2</v>
      </c>
      <c r="ET29" s="17">
        <v>1</v>
      </c>
      <c r="EU29" s="17">
        <v>2</v>
      </c>
      <c r="EV29" s="17">
        <v>2</v>
      </c>
      <c r="EW29" s="17"/>
      <c r="EX29" s="17">
        <v>2</v>
      </c>
      <c r="EY29" s="17"/>
      <c r="EZ29" s="17"/>
      <c r="FA29" s="17">
        <v>2</v>
      </c>
      <c r="FB29" s="17">
        <v>2</v>
      </c>
      <c r="FC29" s="17">
        <v>2</v>
      </c>
      <c r="FD29" s="17">
        <v>2</v>
      </c>
      <c r="FE29" s="17">
        <v>2</v>
      </c>
      <c r="FF29" s="17">
        <v>2</v>
      </c>
      <c r="FG29" s="17">
        <v>2</v>
      </c>
      <c r="FH29" s="17">
        <v>2</v>
      </c>
      <c r="FI29" s="17">
        <v>2</v>
      </c>
      <c r="FJ29" s="17">
        <v>2</v>
      </c>
      <c r="FK29" s="17">
        <v>2</v>
      </c>
      <c r="FL29" s="17">
        <v>2</v>
      </c>
      <c r="FM29" s="17">
        <v>2</v>
      </c>
      <c r="FN29" s="17">
        <v>2</v>
      </c>
      <c r="FO29" s="17">
        <v>2</v>
      </c>
      <c r="FP29" s="17">
        <v>2</v>
      </c>
      <c r="FQ29" s="17">
        <v>2</v>
      </c>
      <c r="FR29" s="17">
        <v>2</v>
      </c>
      <c r="FS29" s="17">
        <v>2</v>
      </c>
      <c r="FT29" s="17">
        <v>2</v>
      </c>
      <c r="FU29" s="17">
        <v>2</v>
      </c>
      <c r="FV29" s="17">
        <v>2</v>
      </c>
      <c r="FW29" s="17">
        <v>2</v>
      </c>
      <c r="FX29" s="17"/>
      <c r="FY29" s="17"/>
      <c r="FZ29" s="17"/>
      <c r="GA29" s="17"/>
      <c r="GB29" s="17"/>
      <c r="GC29" s="17">
        <v>2</v>
      </c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>
        <v>2</v>
      </c>
      <c r="GZ29" s="17">
        <v>2</v>
      </c>
      <c r="HA29" s="17">
        <v>2</v>
      </c>
      <c r="HB29" s="17"/>
      <c r="HC29" s="17"/>
      <c r="HD29" s="17">
        <v>2</v>
      </c>
      <c r="HE29" s="17">
        <v>2</v>
      </c>
      <c r="HF29" s="17"/>
      <c r="HG29" s="17">
        <v>2</v>
      </c>
      <c r="HH29" s="17"/>
      <c r="HI29" s="17">
        <v>2</v>
      </c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>
        <v>2</v>
      </c>
      <c r="HU29" s="17"/>
      <c r="HV29" s="17"/>
      <c r="HW29" s="17"/>
      <c r="HX29" s="17">
        <v>2</v>
      </c>
      <c r="HY29" s="17"/>
      <c r="HZ29" s="17">
        <v>2</v>
      </c>
      <c r="IA29" s="17"/>
      <c r="IB29" s="17">
        <v>2</v>
      </c>
      <c r="IC29" s="17"/>
      <c r="ID29" s="17"/>
      <c r="IE29" s="17"/>
      <c r="IF29" s="17">
        <v>2</v>
      </c>
      <c r="IG29" s="17"/>
      <c r="IH29" s="17">
        <v>2</v>
      </c>
      <c r="II29" s="17"/>
      <c r="IJ29" s="17"/>
      <c r="IK29" s="17">
        <v>2</v>
      </c>
      <c r="IL29" s="17"/>
      <c r="IM29" s="17"/>
      <c r="IN29" s="17"/>
      <c r="IO29" s="17"/>
      <c r="IP29" s="17"/>
      <c r="IQ29" s="17">
        <v>1</v>
      </c>
      <c r="IR29" s="17"/>
      <c r="IS29" s="17"/>
      <c r="IT29" s="17">
        <v>2</v>
      </c>
      <c r="IU29" s="17"/>
      <c r="IV29" s="17"/>
      <c r="IW29" s="17"/>
      <c r="IX29" s="17"/>
      <c r="IY29" s="17">
        <v>2</v>
      </c>
      <c r="IZ29" s="17">
        <v>2</v>
      </c>
      <c r="JA29" s="17">
        <v>2</v>
      </c>
      <c r="JB29" s="17"/>
      <c r="JC29" s="17"/>
      <c r="JD29" s="17"/>
      <c r="JE29" s="17">
        <v>2</v>
      </c>
      <c r="JF29" s="17"/>
      <c r="JG29" s="17">
        <v>2</v>
      </c>
      <c r="JH29" s="17"/>
      <c r="JI29" s="17"/>
      <c r="JJ29" s="17"/>
      <c r="JK29" s="17">
        <v>2</v>
      </c>
      <c r="JL29" s="17"/>
      <c r="JM29" s="17">
        <v>2</v>
      </c>
      <c r="JN29" s="17"/>
      <c r="JO29" s="17"/>
      <c r="JP29" s="17"/>
      <c r="JQ29" s="17">
        <v>2</v>
      </c>
      <c r="JR29" s="17">
        <v>2</v>
      </c>
      <c r="JS29" s="17"/>
      <c r="JT29" s="17"/>
      <c r="JU29" s="17">
        <v>1</v>
      </c>
      <c r="JV29" s="17"/>
      <c r="JW29" s="17"/>
      <c r="JX29" s="17">
        <v>2</v>
      </c>
      <c r="JY29" s="17">
        <v>1</v>
      </c>
      <c r="JZ29" s="17">
        <v>2</v>
      </c>
      <c r="KA29" s="17">
        <v>1</v>
      </c>
      <c r="KB29" s="17">
        <v>1</v>
      </c>
      <c r="KC29" s="17">
        <v>2</v>
      </c>
      <c r="KD29" s="17">
        <v>2</v>
      </c>
      <c r="KE29" s="17">
        <v>1</v>
      </c>
      <c r="KF29" s="17">
        <v>1</v>
      </c>
      <c r="KG29" s="17">
        <v>2</v>
      </c>
      <c r="KH29" s="17">
        <v>2</v>
      </c>
      <c r="KI29" s="17"/>
      <c r="KJ29" s="17">
        <v>2</v>
      </c>
      <c r="KK29" s="17">
        <v>2</v>
      </c>
      <c r="KL29" s="17"/>
      <c r="KM29" s="17">
        <v>1</v>
      </c>
      <c r="KN29" s="17">
        <v>1</v>
      </c>
      <c r="KO29" s="17">
        <v>2</v>
      </c>
      <c r="KP29" s="17">
        <v>2</v>
      </c>
      <c r="KQ29" s="17">
        <v>1</v>
      </c>
      <c r="KR29" s="17">
        <v>1</v>
      </c>
      <c r="KS29" s="17"/>
      <c r="KT29" s="17">
        <v>1</v>
      </c>
      <c r="KU29" s="17"/>
      <c r="KV29" s="17"/>
      <c r="KW29" s="17">
        <v>1</v>
      </c>
      <c r="KX29" s="17"/>
      <c r="KY29" s="17">
        <v>1</v>
      </c>
      <c r="KZ29" s="17">
        <v>1</v>
      </c>
      <c r="LA29" s="17">
        <v>1</v>
      </c>
      <c r="LB29" s="17">
        <v>1</v>
      </c>
      <c r="LC29" s="17">
        <v>2</v>
      </c>
      <c r="LD29" s="17">
        <v>1</v>
      </c>
      <c r="LE29" s="17">
        <v>1</v>
      </c>
      <c r="LF29" s="17">
        <v>1</v>
      </c>
      <c r="LG29" s="17">
        <v>1</v>
      </c>
      <c r="LH29" s="17">
        <v>1</v>
      </c>
      <c r="LI29" s="17">
        <v>1</v>
      </c>
      <c r="LJ29" s="17">
        <v>2</v>
      </c>
      <c r="LK29" s="17">
        <v>1</v>
      </c>
      <c r="LL29" s="17">
        <v>1</v>
      </c>
      <c r="LM29" s="17">
        <v>1</v>
      </c>
      <c r="LN29" s="17">
        <v>1</v>
      </c>
      <c r="LO29" s="17">
        <v>1</v>
      </c>
      <c r="LP29" s="17"/>
      <c r="LQ29" s="17">
        <v>1</v>
      </c>
      <c r="LR29" s="17"/>
      <c r="LS29" s="17">
        <v>2</v>
      </c>
      <c r="LT29" s="17">
        <v>1</v>
      </c>
      <c r="LU29" s="17"/>
      <c r="LV29" s="17">
        <v>1</v>
      </c>
      <c r="LW29" s="17">
        <v>1</v>
      </c>
      <c r="LX29" s="17">
        <v>2</v>
      </c>
      <c r="LY29" s="17">
        <v>1</v>
      </c>
      <c r="LZ29" s="17">
        <v>1</v>
      </c>
      <c r="MA29" s="17">
        <v>1</v>
      </c>
      <c r="MB29" s="17">
        <v>1</v>
      </c>
      <c r="MC29" s="17">
        <v>1</v>
      </c>
      <c r="MD29" s="17">
        <v>1</v>
      </c>
      <c r="ME29" s="17">
        <v>1</v>
      </c>
      <c r="MF29" s="17">
        <v>1</v>
      </c>
      <c r="MG29" s="17">
        <v>1</v>
      </c>
      <c r="MH29" s="17">
        <v>1</v>
      </c>
      <c r="MI29" s="17">
        <v>1</v>
      </c>
      <c r="MJ29" s="17">
        <v>1</v>
      </c>
      <c r="MK29" s="17">
        <v>1</v>
      </c>
      <c r="ML29" s="17">
        <v>1</v>
      </c>
      <c r="MM29" s="17">
        <v>1</v>
      </c>
      <c r="MN29" s="17">
        <v>1</v>
      </c>
      <c r="MO29" s="17">
        <v>1</v>
      </c>
      <c r="MP29" s="17">
        <v>1</v>
      </c>
      <c r="MQ29" s="17">
        <v>1</v>
      </c>
      <c r="MR29" s="17">
        <v>1</v>
      </c>
      <c r="MS29" s="17"/>
      <c r="MT29" s="17"/>
      <c r="MU29" s="17"/>
      <c r="MV29" s="17"/>
      <c r="MW29" s="17"/>
      <c r="MX29" s="17"/>
      <c r="MY29" s="17"/>
      <c r="MZ29" s="17"/>
      <c r="NA29" s="17"/>
      <c r="NB29" s="17">
        <v>2</v>
      </c>
      <c r="NC29" s="17">
        <v>1</v>
      </c>
      <c r="ND29" s="17"/>
      <c r="NE29" s="17"/>
      <c r="NF29" s="17"/>
      <c r="NG29" s="17"/>
      <c r="NH29" s="17"/>
      <c r="NI29" s="17"/>
      <c r="NJ29" s="17">
        <v>1</v>
      </c>
      <c r="NK29" s="17"/>
      <c r="NL29" s="17"/>
      <c r="NM29" s="17">
        <v>1</v>
      </c>
      <c r="NN29" s="17">
        <v>1</v>
      </c>
      <c r="NO29" s="17"/>
      <c r="NP29" s="17"/>
      <c r="NQ29" s="17"/>
      <c r="NR29" s="17">
        <v>1</v>
      </c>
      <c r="NS29" s="17"/>
      <c r="NT29" s="17">
        <v>1</v>
      </c>
      <c r="NU29" s="17"/>
      <c r="NV29" s="17">
        <v>2</v>
      </c>
      <c r="NW29" s="17"/>
      <c r="NX29" s="17"/>
      <c r="NY29" s="17"/>
      <c r="NZ29" s="17"/>
      <c r="OA29" s="17"/>
      <c r="OB29" s="17"/>
      <c r="OC29" s="17">
        <v>1</v>
      </c>
      <c r="OD29" s="17"/>
      <c r="OE29" s="17">
        <v>1</v>
      </c>
      <c r="OF29" s="17"/>
      <c r="OG29" s="17">
        <v>1</v>
      </c>
      <c r="OH29" s="17"/>
      <c r="OI29" s="17">
        <v>1</v>
      </c>
      <c r="OJ29" s="17">
        <v>1</v>
      </c>
      <c r="OK29" s="17">
        <v>2</v>
      </c>
      <c r="OL29" s="17">
        <v>1</v>
      </c>
      <c r="OM29" s="17">
        <v>1</v>
      </c>
      <c r="ON29" s="17">
        <v>1</v>
      </c>
      <c r="OO29" s="17">
        <v>2</v>
      </c>
      <c r="OP29" s="17">
        <v>2</v>
      </c>
      <c r="OQ29" s="17">
        <v>1</v>
      </c>
      <c r="OR29" s="17">
        <v>2</v>
      </c>
      <c r="OS29" s="17">
        <v>1</v>
      </c>
      <c r="OT29" s="17">
        <v>1</v>
      </c>
      <c r="OU29" s="17">
        <v>1</v>
      </c>
      <c r="OV29" s="17">
        <v>1</v>
      </c>
      <c r="OW29" s="17">
        <v>1</v>
      </c>
      <c r="OX29" s="17"/>
      <c r="OY29" s="17">
        <v>1</v>
      </c>
      <c r="OZ29" s="17"/>
      <c r="PA29" s="17">
        <v>1</v>
      </c>
      <c r="PB29" s="17">
        <v>1</v>
      </c>
      <c r="PC29" s="17"/>
      <c r="PD29" s="17"/>
      <c r="PE29" s="17">
        <v>1</v>
      </c>
      <c r="PF29" s="17">
        <v>1</v>
      </c>
      <c r="PG29" s="17">
        <v>1</v>
      </c>
      <c r="PH29" s="17">
        <v>1</v>
      </c>
      <c r="PI29" s="17">
        <v>2</v>
      </c>
      <c r="PJ29" s="17">
        <v>2</v>
      </c>
      <c r="PK29" s="17">
        <v>1</v>
      </c>
      <c r="PL29" s="17">
        <v>1</v>
      </c>
      <c r="PM29" s="17">
        <v>1</v>
      </c>
      <c r="PN29" s="17">
        <v>2</v>
      </c>
      <c r="PO29" s="17">
        <v>2</v>
      </c>
      <c r="PP29" s="17"/>
      <c r="PQ29" s="17">
        <v>2</v>
      </c>
      <c r="PR29" s="17"/>
      <c r="PS29" s="17"/>
      <c r="PT29" s="17"/>
      <c r="PU29" s="17"/>
      <c r="PV29" s="17"/>
      <c r="PW29" s="17" t="s">
        <v>506</v>
      </c>
      <c r="PX29" s="17" t="s">
        <v>506</v>
      </c>
      <c r="PY29" s="17" t="s">
        <v>507</v>
      </c>
      <c r="PZ29" s="17" t="s">
        <v>506</v>
      </c>
      <c r="QA29" s="17" t="s">
        <v>506</v>
      </c>
      <c r="QB29" s="17" t="s">
        <v>506</v>
      </c>
      <c r="QC29" s="17" t="s">
        <v>507</v>
      </c>
      <c r="QD29" s="17" t="s">
        <v>508</v>
      </c>
      <c r="QE29" s="17" t="s">
        <v>508</v>
      </c>
      <c r="QF29" s="17" t="s">
        <v>508</v>
      </c>
      <c r="QG29" s="17" t="s">
        <v>508</v>
      </c>
      <c r="QH29" s="17" t="s">
        <v>508</v>
      </c>
      <c r="QI29" s="17">
        <v>1</v>
      </c>
      <c r="QJ29" s="17">
        <v>0</v>
      </c>
      <c r="QK29" s="17">
        <v>0</v>
      </c>
      <c r="QL29" s="17">
        <v>1</v>
      </c>
      <c r="QM29" s="17">
        <v>1</v>
      </c>
      <c r="QN29" s="17">
        <v>1</v>
      </c>
      <c r="QO29" s="17">
        <v>1</v>
      </c>
      <c r="QP29" s="17">
        <v>1</v>
      </c>
      <c r="QQ29" s="17">
        <v>1</v>
      </c>
      <c r="QR29" s="17">
        <v>1</v>
      </c>
      <c r="QS29" s="17">
        <v>1</v>
      </c>
      <c r="QT29" s="17">
        <v>1</v>
      </c>
      <c r="QU29" s="17">
        <v>2</v>
      </c>
      <c r="QV29" s="17">
        <v>1</v>
      </c>
      <c r="QW29" s="17">
        <v>2</v>
      </c>
      <c r="QX29" s="17">
        <v>1</v>
      </c>
      <c r="QY29" s="17">
        <v>2</v>
      </c>
      <c r="QZ29" s="17">
        <v>1</v>
      </c>
      <c r="RA29" s="17">
        <v>1</v>
      </c>
      <c r="RB29" s="17">
        <v>1</v>
      </c>
      <c r="RC29" s="17">
        <v>1</v>
      </c>
      <c r="RD29" s="17">
        <v>2</v>
      </c>
      <c r="RE29" s="17">
        <v>1</v>
      </c>
      <c r="RF29" s="17">
        <v>1</v>
      </c>
      <c r="RG29" s="17">
        <v>1</v>
      </c>
      <c r="RH29" s="17">
        <v>1</v>
      </c>
      <c r="RI29" s="17">
        <v>2</v>
      </c>
      <c r="RJ29" s="17">
        <v>2</v>
      </c>
      <c r="RK29" s="17">
        <v>2</v>
      </c>
      <c r="RL29" s="17">
        <v>1</v>
      </c>
      <c r="RM29" s="17">
        <v>2</v>
      </c>
      <c r="RN29" s="17">
        <v>1</v>
      </c>
      <c r="RO29" s="17">
        <v>2</v>
      </c>
      <c r="RP29" s="17">
        <v>2</v>
      </c>
      <c r="RQ29" s="17">
        <v>2</v>
      </c>
      <c r="RR29" s="17">
        <v>2</v>
      </c>
      <c r="RS29" s="17">
        <v>0</v>
      </c>
      <c r="RT29" s="17">
        <v>0</v>
      </c>
      <c r="RU29" s="17">
        <v>0</v>
      </c>
      <c r="RV29" s="17">
        <v>0</v>
      </c>
      <c r="RW29" s="17">
        <v>1</v>
      </c>
      <c r="RX29" s="17">
        <v>1</v>
      </c>
      <c r="RY29" s="17">
        <v>0</v>
      </c>
      <c r="RZ29" s="17">
        <v>1</v>
      </c>
      <c r="SA29" s="17">
        <v>1</v>
      </c>
      <c r="SB29" s="17">
        <v>1</v>
      </c>
      <c r="SC29" s="17">
        <v>0</v>
      </c>
      <c r="SD29" s="17">
        <v>0</v>
      </c>
      <c r="SE29" s="17">
        <v>1</v>
      </c>
      <c r="SF29" s="17">
        <v>1</v>
      </c>
      <c r="SG29" s="17">
        <v>1</v>
      </c>
      <c r="SH29" s="17">
        <v>1</v>
      </c>
      <c r="SI29" s="17">
        <v>10029</v>
      </c>
      <c r="SJ29" s="19">
        <f t="shared" si="3"/>
        <v>107</v>
      </c>
      <c r="SK29" s="19">
        <f t="shared" si="0"/>
        <v>232</v>
      </c>
      <c r="SL29" s="19">
        <f t="shared" si="1"/>
        <v>125</v>
      </c>
      <c r="SM29" s="9">
        <v>10029</v>
      </c>
      <c r="SN29" s="9" t="s">
        <v>509</v>
      </c>
      <c r="SO29" s="10">
        <v>2</v>
      </c>
      <c r="SP29" s="9">
        <v>2</v>
      </c>
      <c r="SQ29" s="11" t="s">
        <v>515</v>
      </c>
      <c r="SR29" s="9">
        <v>18</v>
      </c>
      <c r="SS29" s="28">
        <v>63.5</v>
      </c>
      <c r="ST29" s="28">
        <v>17</v>
      </c>
      <c r="SU29" s="28">
        <v>233</v>
      </c>
      <c r="SV29" s="28">
        <v>46</v>
      </c>
      <c r="SW29" s="28">
        <v>126</v>
      </c>
      <c r="SX29" s="28">
        <v>76</v>
      </c>
      <c r="SY29" s="29">
        <v>37</v>
      </c>
      <c r="SZ29" s="30">
        <v>15</v>
      </c>
      <c r="TA29" s="31">
        <v>27</v>
      </c>
      <c r="TB29" s="31">
        <v>75</v>
      </c>
    </row>
    <row r="30" spans="1:522" ht="15.75" customHeight="1" x14ac:dyDescent="0.2">
      <c r="A30" s="17">
        <v>10030</v>
      </c>
      <c r="B30" s="17" t="s">
        <v>501</v>
      </c>
      <c r="C30" s="17" t="s">
        <v>502</v>
      </c>
      <c r="D30" s="17" t="s">
        <v>503</v>
      </c>
      <c r="E30" s="17" t="s">
        <v>504</v>
      </c>
      <c r="F30" s="18">
        <v>38026</v>
      </c>
      <c r="G30" s="18">
        <v>38545</v>
      </c>
      <c r="H30" s="14">
        <f t="shared" si="2"/>
        <v>17</v>
      </c>
      <c r="I30" s="17" t="s">
        <v>505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/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/>
      <c r="AH30" s="17">
        <v>1</v>
      </c>
      <c r="AI30" s="17"/>
      <c r="AJ30" s="17">
        <v>1</v>
      </c>
      <c r="AK30" s="17">
        <v>1</v>
      </c>
      <c r="AL30" s="17">
        <v>1</v>
      </c>
      <c r="AM30" s="17">
        <v>1</v>
      </c>
      <c r="AN30" s="17"/>
      <c r="AO30" s="17" t="s">
        <v>507</v>
      </c>
      <c r="AP30" s="17" t="s">
        <v>508</v>
      </c>
      <c r="AQ30" s="17">
        <v>2</v>
      </c>
      <c r="AR30" s="17">
        <v>1</v>
      </c>
      <c r="AS30" s="17">
        <v>1</v>
      </c>
      <c r="AT30" s="17"/>
      <c r="AU30" s="17">
        <v>2</v>
      </c>
      <c r="AV30" s="17">
        <v>2</v>
      </c>
      <c r="AW30" s="17">
        <v>1</v>
      </c>
      <c r="AX30" s="17">
        <v>2</v>
      </c>
      <c r="AY30" s="17"/>
      <c r="AZ30" s="17"/>
      <c r="BA30" s="17"/>
      <c r="BB30" s="17">
        <v>2</v>
      </c>
      <c r="BC30" s="17"/>
      <c r="BD30" s="17">
        <v>1</v>
      </c>
      <c r="BE30" s="17">
        <v>1</v>
      </c>
      <c r="BF30" s="17">
        <v>1</v>
      </c>
      <c r="BG30" s="17"/>
      <c r="BH30" s="17"/>
      <c r="BI30" s="17">
        <v>1</v>
      </c>
      <c r="BJ30" s="17">
        <v>1</v>
      </c>
      <c r="BK30" s="17">
        <v>1</v>
      </c>
      <c r="BL30" s="17">
        <v>1</v>
      </c>
      <c r="BM30" s="17"/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/>
      <c r="BU30" s="17"/>
      <c r="BV30" s="17">
        <v>1</v>
      </c>
      <c r="BW30" s="17"/>
      <c r="BX30" s="17"/>
      <c r="BY30" s="17"/>
      <c r="BZ30" s="17"/>
      <c r="CA30" s="17"/>
      <c r="CB30" s="17">
        <v>1</v>
      </c>
      <c r="CC30" s="17"/>
      <c r="CD30" s="17">
        <v>1</v>
      </c>
      <c r="CE30" s="17"/>
      <c r="CF30" s="17"/>
      <c r="CG30" s="17">
        <v>1</v>
      </c>
      <c r="CH30" s="17"/>
      <c r="CI30" s="17"/>
      <c r="CJ30" s="17"/>
      <c r="CK30" s="17"/>
      <c r="CL30" s="17"/>
      <c r="CM30" s="17">
        <v>1</v>
      </c>
      <c r="CN30" s="17"/>
      <c r="CO30" s="17"/>
      <c r="CP30" s="17">
        <v>1</v>
      </c>
      <c r="CQ30" s="17"/>
      <c r="CR30" s="17"/>
      <c r="CS30" s="17"/>
      <c r="CT30" s="17"/>
      <c r="CU30" s="17">
        <v>2</v>
      </c>
      <c r="CV30" s="17">
        <v>2</v>
      </c>
      <c r="CW30" s="17">
        <v>2</v>
      </c>
      <c r="CX30" s="17">
        <v>1</v>
      </c>
      <c r="CY30" s="17">
        <v>2</v>
      </c>
      <c r="CZ30" s="17">
        <v>2</v>
      </c>
      <c r="DA30" s="17"/>
      <c r="DB30" s="17"/>
      <c r="DC30" s="17">
        <v>1</v>
      </c>
      <c r="DD30" s="17"/>
      <c r="DE30" s="17">
        <v>2</v>
      </c>
      <c r="DF30" s="17"/>
      <c r="DG30" s="17"/>
      <c r="DH30" s="17"/>
      <c r="DI30" s="17"/>
      <c r="DJ30" s="17"/>
      <c r="DK30" s="17"/>
      <c r="DL30" s="17">
        <v>1</v>
      </c>
      <c r="DM30" s="17">
        <v>1</v>
      </c>
      <c r="DN30" s="17">
        <v>1</v>
      </c>
      <c r="DO30" s="17"/>
      <c r="DP30" s="17">
        <v>1</v>
      </c>
      <c r="DQ30" s="17">
        <v>2</v>
      </c>
      <c r="DR30" s="17">
        <v>1</v>
      </c>
      <c r="DS30" s="17"/>
      <c r="DT30" s="17">
        <v>1</v>
      </c>
      <c r="DU30" s="17">
        <v>1</v>
      </c>
      <c r="DV30" s="17"/>
      <c r="DW30" s="17"/>
      <c r="DX30" s="17"/>
      <c r="DY30" s="17">
        <v>1</v>
      </c>
      <c r="DZ30" s="17"/>
      <c r="EA30" s="17"/>
      <c r="EB30" s="17"/>
      <c r="EC30" s="17"/>
      <c r="ED30" s="17"/>
      <c r="EE30" s="17"/>
      <c r="EF30" s="17"/>
      <c r="EG30" s="17">
        <v>1</v>
      </c>
      <c r="EH30" s="17"/>
      <c r="EI30" s="17"/>
      <c r="EJ30" s="17"/>
      <c r="EK30" s="17"/>
      <c r="EL30" s="17"/>
      <c r="EM30" s="17">
        <v>1</v>
      </c>
      <c r="EN30" s="17"/>
      <c r="EO30" s="17">
        <v>1</v>
      </c>
      <c r="EP30" s="17"/>
      <c r="EQ30" s="17"/>
      <c r="ER30" s="17"/>
      <c r="ES30" s="17"/>
      <c r="ET30" s="17"/>
      <c r="EU30" s="17"/>
      <c r="EV30" s="17">
        <v>1</v>
      </c>
      <c r="EW30" s="17"/>
      <c r="EX30" s="17">
        <v>1</v>
      </c>
      <c r="EY30" s="17"/>
      <c r="EZ30" s="17"/>
      <c r="FA30" s="17"/>
      <c r="FB30" s="17">
        <v>1</v>
      </c>
      <c r="FC30" s="17"/>
      <c r="FD30" s="17">
        <v>1</v>
      </c>
      <c r="FE30" s="17">
        <v>1</v>
      </c>
      <c r="FF30" s="17"/>
      <c r="FG30" s="17">
        <v>1</v>
      </c>
      <c r="FH30" s="17">
        <v>1</v>
      </c>
      <c r="FI30" s="17"/>
      <c r="FJ30" s="17"/>
      <c r="FK30" s="17">
        <v>1</v>
      </c>
      <c r="FL30" s="17"/>
      <c r="FM30" s="17"/>
      <c r="FN30" s="17">
        <v>1</v>
      </c>
      <c r="FO30" s="17">
        <v>1</v>
      </c>
      <c r="FP30" s="17"/>
      <c r="FQ30" s="17">
        <v>1</v>
      </c>
      <c r="FR30" s="17">
        <v>1</v>
      </c>
      <c r="FS30" s="17">
        <v>1</v>
      </c>
      <c r="FT30" s="17">
        <v>1</v>
      </c>
      <c r="FU30" s="17"/>
      <c r="FV30" s="17"/>
      <c r="FW30" s="17"/>
      <c r="FX30" s="17"/>
      <c r="FY30" s="17">
        <v>1</v>
      </c>
      <c r="FZ30" s="17"/>
      <c r="GA30" s="17">
        <v>2</v>
      </c>
      <c r="GB30" s="17"/>
      <c r="GC30" s="17"/>
      <c r="GD30" s="17"/>
      <c r="GE30" s="17"/>
      <c r="GF30" s="17"/>
      <c r="GG30" s="17"/>
      <c r="GH30" s="17"/>
      <c r="GI30" s="17"/>
      <c r="GJ30" s="17"/>
      <c r="GK30" s="17">
        <v>1</v>
      </c>
      <c r="GL30" s="17">
        <v>1</v>
      </c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>
        <v>1</v>
      </c>
      <c r="GZ30" s="17">
        <v>1</v>
      </c>
      <c r="HA30" s="17"/>
      <c r="HB30" s="17"/>
      <c r="HC30" s="17"/>
      <c r="HD30" s="17"/>
      <c r="HE30" s="17">
        <v>1</v>
      </c>
      <c r="HF30" s="17">
        <v>1</v>
      </c>
      <c r="HG30" s="17">
        <v>1</v>
      </c>
      <c r="HH30" s="17">
        <v>1</v>
      </c>
      <c r="HI30" s="17">
        <v>1</v>
      </c>
      <c r="HJ30" s="17">
        <v>1</v>
      </c>
      <c r="HK30" s="17">
        <v>1</v>
      </c>
      <c r="HL30" s="17">
        <v>1</v>
      </c>
      <c r="HM30" s="17"/>
      <c r="HN30" s="17"/>
      <c r="HO30" s="17">
        <v>1</v>
      </c>
      <c r="HP30" s="17">
        <v>1</v>
      </c>
      <c r="HQ30" s="17">
        <v>1</v>
      </c>
      <c r="HR30" s="17"/>
      <c r="HS30" s="17"/>
      <c r="HT30" s="17">
        <v>1</v>
      </c>
      <c r="HU30" s="17"/>
      <c r="HV30" s="17">
        <v>1</v>
      </c>
      <c r="HW30" s="17"/>
      <c r="HX30" s="17"/>
      <c r="HY30" s="17"/>
      <c r="HZ30" s="17">
        <v>1</v>
      </c>
      <c r="IA30" s="17"/>
      <c r="IB30" s="17">
        <v>1</v>
      </c>
      <c r="IC30" s="17">
        <v>1</v>
      </c>
      <c r="ID30" s="17"/>
      <c r="IE30" s="17"/>
      <c r="IF30" s="17"/>
      <c r="IG30" s="17"/>
      <c r="IH30" s="17">
        <v>1</v>
      </c>
      <c r="II30" s="17">
        <v>1</v>
      </c>
      <c r="IJ30" s="17">
        <v>1</v>
      </c>
      <c r="IK30" s="17">
        <v>1</v>
      </c>
      <c r="IL30" s="17">
        <v>1</v>
      </c>
      <c r="IM30" s="17"/>
      <c r="IN30" s="17">
        <v>1</v>
      </c>
      <c r="IO30" s="17"/>
      <c r="IP30" s="17"/>
      <c r="IQ30" s="17"/>
      <c r="IR30" s="17"/>
      <c r="IS30" s="17">
        <v>1</v>
      </c>
      <c r="IT30" s="17">
        <v>1</v>
      </c>
      <c r="IU30" s="17"/>
      <c r="IV30" s="17"/>
      <c r="IW30" s="17"/>
      <c r="IX30" s="17"/>
      <c r="IY30" s="17">
        <v>1</v>
      </c>
      <c r="IZ30" s="17"/>
      <c r="JA30" s="17"/>
      <c r="JB30" s="17"/>
      <c r="JC30" s="17"/>
      <c r="JD30" s="17"/>
      <c r="JE30" s="17">
        <v>1</v>
      </c>
      <c r="JF30" s="17"/>
      <c r="JG30" s="17"/>
      <c r="JH30" s="17"/>
      <c r="JI30" s="17"/>
      <c r="JJ30" s="17"/>
      <c r="JK30" s="17">
        <v>2</v>
      </c>
      <c r="JL30" s="17"/>
      <c r="JM30" s="17">
        <v>1</v>
      </c>
      <c r="JN30" s="17">
        <v>1</v>
      </c>
      <c r="JO30" s="17"/>
      <c r="JP30" s="17"/>
      <c r="JQ30" s="17">
        <v>2</v>
      </c>
      <c r="JR30" s="17">
        <v>1</v>
      </c>
      <c r="JS30" s="17"/>
      <c r="JT30" s="17"/>
      <c r="JU30" s="17"/>
      <c r="JV30" s="17"/>
      <c r="JW30" s="17"/>
      <c r="JX30" s="17">
        <v>1</v>
      </c>
      <c r="JY30" s="17"/>
      <c r="JZ30" s="17">
        <v>2</v>
      </c>
      <c r="KA30" s="17">
        <v>1</v>
      </c>
      <c r="KB30" s="17"/>
      <c r="KC30" s="17"/>
      <c r="KD30" s="17"/>
      <c r="KE30" s="17">
        <v>1</v>
      </c>
      <c r="KF30" s="17">
        <v>1</v>
      </c>
      <c r="KG30" s="17">
        <v>1</v>
      </c>
      <c r="KH30" s="17">
        <v>1</v>
      </c>
      <c r="KI30" s="17"/>
      <c r="KJ30" s="17">
        <v>2</v>
      </c>
      <c r="KK30" s="17">
        <v>1</v>
      </c>
      <c r="KL30" s="17"/>
      <c r="KM30" s="17">
        <v>1</v>
      </c>
      <c r="KN30" s="17"/>
      <c r="KO30" s="17"/>
      <c r="KP30" s="17">
        <v>1</v>
      </c>
      <c r="KQ30" s="17">
        <v>1</v>
      </c>
      <c r="KR30" s="17">
        <v>1</v>
      </c>
      <c r="KS30" s="17"/>
      <c r="KT30" s="17">
        <v>1</v>
      </c>
      <c r="KU30" s="17"/>
      <c r="KV30" s="17">
        <v>1</v>
      </c>
      <c r="KW30" s="17"/>
      <c r="KX30" s="17"/>
      <c r="KY30" s="17">
        <v>1</v>
      </c>
      <c r="KZ30" s="17"/>
      <c r="LA30" s="17">
        <v>1</v>
      </c>
      <c r="LB30" s="17"/>
      <c r="LC30" s="17">
        <v>1</v>
      </c>
      <c r="LD30" s="17"/>
      <c r="LE30" s="17"/>
      <c r="LF30" s="17">
        <v>1</v>
      </c>
      <c r="LG30" s="17"/>
      <c r="LH30" s="17">
        <v>1</v>
      </c>
      <c r="LI30" s="17"/>
      <c r="LJ30" s="17">
        <v>1</v>
      </c>
      <c r="LK30" s="17"/>
      <c r="LL30" s="17">
        <v>1</v>
      </c>
      <c r="LM30" s="17"/>
      <c r="LN30" s="17"/>
      <c r="LO30" s="17">
        <v>1</v>
      </c>
      <c r="LP30" s="17">
        <v>1</v>
      </c>
      <c r="LQ30" s="17"/>
      <c r="LR30" s="17"/>
      <c r="LS30" s="17">
        <v>1</v>
      </c>
      <c r="LT30" s="17">
        <v>1</v>
      </c>
      <c r="LU30" s="17"/>
      <c r="LV30" s="17"/>
      <c r="LW30" s="17"/>
      <c r="LX30" s="17">
        <v>1</v>
      </c>
      <c r="LY30" s="17"/>
      <c r="LZ30" s="17"/>
      <c r="MA30" s="17"/>
      <c r="MB30" s="17"/>
      <c r="MC30" s="17">
        <v>1</v>
      </c>
      <c r="MD30" s="17"/>
      <c r="ME30" s="17">
        <v>1</v>
      </c>
      <c r="MF30" s="17"/>
      <c r="MG30" s="17">
        <v>1</v>
      </c>
      <c r="MH30" s="17"/>
      <c r="MI30" s="17"/>
      <c r="MJ30" s="17">
        <v>1</v>
      </c>
      <c r="MK30" s="17"/>
      <c r="ML30" s="17">
        <v>1</v>
      </c>
      <c r="MM30" s="17">
        <v>1</v>
      </c>
      <c r="MN30" s="17">
        <v>1</v>
      </c>
      <c r="MO30" s="17"/>
      <c r="MP30" s="17"/>
      <c r="MQ30" s="17">
        <v>1</v>
      </c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>
        <v>1</v>
      </c>
      <c r="NC30" s="17"/>
      <c r="ND30" s="17"/>
      <c r="NE30" s="17"/>
      <c r="NF30" s="17"/>
      <c r="NG30" s="17"/>
      <c r="NH30" s="17">
        <v>1</v>
      </c>
      <c r="NI30" s="17"/>
      <c r="NJ30" s="17">
        <v>1</v>
      </c>
      <c r="NK30" s="17"/>
      <c r="NL30" s="17"/>
      <c r="NM30" s="17"/>
      <c r="NN30" s="17"/>
      <c r="NO30" s="17"/>
      <c r="NP30" s="17"/>
      <c r="NQ30" s="17"/>
      <c r="NR30" s="17">
        <v>1</v>
      </c>
      <c r="NS30" s="17"/>
      <c r="NT30" s="17"/>
      <c r="NU30" s="17"/>
      <c r="NV30" s="17">
        <v>1</v>
      </c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>
        <v>1</v>
      </c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>
        <v>1</v>
      </c>
      <c r="OX30" s="17"/>
      <c r="OY30" s="17"/>
      <c r="OZ30" s="17"/>
      <c r="PA30" s="17">
        <v>1</v>
      </c>
      <c r="PB30" s="17"/>
      <c r="PC30" s="17"/>
      <c r="PD30" s="17"/>
      <c r="PE30" s="17"/>
      <c r="PF30" s="17">
        <v>1</v>
      </c>
      <c r="PG30" s="17">
        <v>1</v>
      </c>
      <c r="PH30" s="17"/>
      <c r="PI30" s="17"/>
      <c r="PJ30" s="17"/>
      <c r="PK30" s="17">
        <v>1</v>
      </c>
      <c r="PL30" s="17"/>
      <c r="PM30" s="17"/>
      <c r="PN30" s="17">
        <v>1</v>
      </c>
      <c r="PO30" s="17"/>
      <c r="PP30" s="17"/>
      <c r="PQ30" s="17">
        <v>1</v>
      </c>
      <c r="PR30" s="17"/>
      <c r="PS30" s="17"/>
      <c r="PT30" s="17"/>
      <c r="PU30" s="17"/>
      <c r="PV30" s="17"/>
      <c r="PW30" s="17" t="s">
        <v>506</v>
      </c>
      <c r="PX30" s="17" t="s">
        <v>506</v>
      </c>
      <c r="PY30" s="17" t="s">
        <v>506</v>
      </c>
      <c r="PZ30" s="17" t="s">
        <v>506</v>
      </c>
      <c r="QA30" s="17" t="s">
        <v>506</v>
      </c>
      <c r="QB30" s="17" t="s">
        <v>507</v>
      </c>
      <c r="QC30" s="17" t="s">
        <v>508</v>
      </c>
      <c r="QD30" s="17" t="s">
        <v>508</v>
      </c>
      <c r="QE30" s="17" t="s">
        <v>508</v>
      </c>
      <c r="QF30" s="17" t="s">
        <v>507</v>
      </c>
      <c r="QG30" s="17" t="s">
        <v>508</v>
      </c>
      <c r="QH30" s="17" t="s">
        <v>507</v>
      </c>
      <c r="QI30" s="17">
        <v>1</v>
      </c>
      <c r="QJ30" s="17">
        <v>0</v>
      </c>
      <c r="QK30" s="17">
        <v>0</v>
      </c>
      <c r="QL30" s="17">
        <v>1</v>
      </c>
      <c r="QM30" s="17">
        <v>0</v>
      </c>
      <c r="QN30" s="17">
        <v>1</v>
      </c>
      <c r="QO30" s="17">
        <v>1</v>
      </c>
      <c r="QP30" s="17">
        <v>1</v>
      </c>
      <c r="QQ30" s="17">
        <v>1</v>
      </c>
      <c r="QR30" s="17">
        <v>1</v>
      </c>
      <c r="QS30" s="17">
        <v>1</v>
      </c>
      <c r="QT30" s="17">
        <v>1</v>
      </c>
      <c r="QU30" s="17">
        <v>1</v>
      </c>
      <c r="QV30" s="17">
        <v>0</v>
      </c>
      <c r="QW30" s="17">
        <v>1</v>
      </c>
      <c r="QX30" s="17">
        <v>1</v>
      </c>
      <c r="QY30" s="17">
        <v>0</v>
      </c>
      <c r="QZ30" s="17">
        <v>1</v>
      </c>
      <c r="RA30" s="17">
        <v>1</v>
      </c>
      <c r="RB30" s="17">
        <v>1</v>
      </c>
      <c r="RC30" s="17">
        <v>1</v>
      </c>
      <c r="RD30" s="17">
        <v>0</v>
      </c>
      <c r="RE30" s="17">
        <v>0</v>
      </c>
      <c r="RF30" s="17"/>
      <c r="RG30" s="17"/>
      <c r="RH30" s="17"/>
      <c r="RI30" s="17"/>
      <c r="RJ30" s="17"/>
      <c r="RK30" s="17"/>
      <c r="RL30" s="17"/>
      <c r="RM30" s="17"/>
      <c r="RN30" s="17">
        <v>1</v>
      </c>
      <c r="RO30" s="17"/>
      <c r="RP30" s="17"/>
      <c r="RQ30" s="17"/>
      <c r="RR30" s="17"/>
      <c r="RS30" s="17">
        <v>1</v>
      </c>
      <c r="RT30" s="17"/>
      <c r="RU30" s="17">
        <v>1</v>
      </c>
      <c r="RV30" s="17"/>
      <c r="RW30" s="17"/>
      <c r="RX30" s="17">
        <v>1</v>
      </c>
      <c r="RY30" s="17"/>
      <c r="RZ30" s="17"/>
      <c r="SA30" s="17">
        <v>1</v>
      </c>
      <c r="SB30" s="17"/>
      <c r="SC30" s="17"/>
      <c r="SD30" s="17">
        <v>1</v>
      </c>
      <c r="SE30" s="17">
        <v>1</v>
      </c>
      <c r="SF30" s="17">
        <v>1</v>
      </c>
      <c r="SG30" s="17"/>
      <c r="SH30" s="17">
        <v>1</v>
      </c>
      <c r="SI30" s="17">
        <v>10030</v>
      </c>
      <c r="SJ30" s="19">
        <f t="shared" si="3"/>
        <v>129</v>
      </c>
      <c r="SK30" s="19">
        <f t="shared" si="0"/>
        <v>146</v>
      </c>
      <c r="SL30" s="19">
        <f t="shared" si="1"/>
        <v>17</v>
      </c>
      <c r="SM30" s="9">
        <v>10030</v>
      </c>
      <c r="SN30" s="9" t="s">
        <v>504</v>
      </c>
      <c r="SO30" s="10">
        <v>1</v>
      </c>
      <c r="SP30" s="9">
        <v>1</v>
      </c>
      <c r="SQ30" s="11" t="s">
        <v>517</v>
      </c>
      <c r="SR30" s="9">
        <v>18</v>
      </c>
      <c r="SS30" s="28">
        <v>63.5</v>
      </c>
      <c r="ST30" s="28">
        <v>17</v>
      </c>
      <c r="SU30" s="28">
        <v>139</v>
      </c>
      <c r="SV30" s="28">
        <v>22</v>
      </c>
      <c r="SW30" s="28">
        <v>17</v>
      </c>
      <c r="SX30" s="28">
        <v>17</v>
      </c>
      <c r="SY30" s="29">
        <v>32</v>
      </c>
      <c r="SZ30" s="30">
        <v>12</v>
      </c>
      <c r="TA30" s="31">
        <v>22</v>
      </c>
      <c r="TB30" s="31">
        <v>40</v>
      </c>
    </row>
    <row r="31" spans="1:522" ht="15.75" customHeight="1" x14ac:dyDescent="0.2">
      <c r="A31" s="17">
        <v>10031</v>
      </c>
      <c r="B31" s="17" t="s">
        <v>501</v>
      </c>
      <c r="C31" s="17" t="s">
        <v>502</v>
      </c>
      <c r="D31" s="17" t="s">
        <v>512</v>
      </c>
      <c r="E31" s="17" t="s">
        <v>509</v>
      </c>
      <c r="F31" s="18">
        <v>38003</v>
      </c>
      <c r="G31" s="18">
        <v>38524</v>
      </c>
      <c r="H31" s="14">
        <f t="shared" si="2"/>
        <v>17</v>
      </c>
      <c r="I31" s="17" t="s">
        <v>505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/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/>
      <c r="AP31" s="17"/>
      <c r="AQ31" s="17">
        <v>2</v>
      </c>
      <c r="AR31" s="17"/>
      <c r="AS31" s="17">
        <v>2</v>
      </c>
      <c r="AT31" s="17">
        <v>2</v>
      </c>
      <c r="AU31" s="17">
        <v>2</v>
      </c>
      <c r="AV31" s="17">
        <v>2</v>
      </c>
      <c r="AW31" s="17">
        <v>2</v>
      </c>
      <c r="AX31" s="17">
        <v>2</v>
      </c>
      <c r="AY31" s="17">
        <v>2</v>
      </c>
      <c r="AZ31" s="17"/>
      <c r="BA31" s="17">
        <v>2</v>
      </c>
      <c r="BB31" s="17">
        <v>2</v>
      </c>
      <c r="BC31" s="17">
        <v>2</v>
      </c>
      <c r="BD31" s="17">
        <v>2</v>
      </c>
      <c r="BE31" s="17">
        <v>2</v>
      </c>
      <c r="BF31" s="17">
        <v>2</v>
      </c>
      <c r="BG31" s="17">
        <v>2</v>
      </c>
      <c r="BH31" s="17">
        <v>2</v>
      </c>
      <c r="BI31" s="17">
        <v>2</v>
      </c>
      <c r="BJ31" s="17">
        <v>2</v>
      </c>
      <c r="BK31" s="17">
        <v>2</v>
      </c>
      <c r="BL31" s="17">
        <v>2</v>
      </c>
      <c r="BM31" s="17">
        <v>2</v>
      </c>
      <c r="BN31" s="17">
        <v>2</v>
      </c>
      <c r="BO31" s="17">
        <v>2</v>
      </c>
      <c r="BP31" s="17">
        <v>2</v>
      </c>
      <c r="BQ31" s="17">
        <v>2</v>
      </c>
      <c r="BR31" s="17">
        <v>2</v>
      </c>
      <c r="BS31" s="17">
        <v>2</v>
      </c>
      <c r="BT31" s="17">
        <v>2</v>
      </c>
      <c r="BU31" s="17">
        <v>2</v>
      </c>
      <c r="BV31" s="17">
        <v>2</v>
      </c>
      <c r="BW31" s="17">
        <v>2</v>
      </c>
      <c r="BX31" s="17">
        <v>2</v>
      </c>
      <c r="BY31" s="17">
        <v>2</v>
      </c>
      <c r="BZ31" s="17">
        <v>2</v>
      </c>
      <c r="CA31" s="17">
        <v>2</v>
      </c>
      <c r="CB31" s="17">
        <v>2</v>
      </c>
      <c r="CC31" s="17">
        <v>2</v>
      </c>
      <c r="CD31" s="17">
        <v>2</v>
      </c>
      <c r="CE31" s="17"/>
      <c r="CF31" s="17">
        <v>2</v>
      </c>
      <c r="CG31" s="17">
        <v>2</v>
      </c>
      <c r="CH31" s="17">
        <v>2</v>
      </c>
      <c r="CI31" s="17">
        <v>2</v>
      </c>
      <c r="CJ31" s="17">
        <v>2</v>
      </c>
      <c r="CK31" s="17">
        <v>2</v>
      </c>
      <c r="CL31" s="17">
        <v>2</v>
      </c>
      <c r="CM31" s="17">
        <v>2</v>
      </c>
      <c r="CN31" s="17">
        <v>2</v>
      </c>
      <c r="CO31" s="17">
        <v>2</v>
      </c>
      <c r="CP31" s="17">
        <v>2</v>
      </c>
      <c r="CQ31" s="17">
        <v>2</v>
      </c>
      <c r="CR31" s="17">
        <v>2</v>
      </c>
      <c r="CS31" s="17">
        <v>2</v>
      </c>
      <c r="CT31" s="17">
        <v>2</v>
      </c>
      <c r="CU31" s="17">
        <v>2</v>
      </c>
      <c r="CV31" s="17"/>
      <c r="CW31" s="17">
        <v>2</v>
      </c>
      <c r="CX31" s="17">
        <v>2</v>
      </c>
      <c r="CY31" s="17"/>
      <c r="CZ31" s="17">
        <v>2</v>
      </c>
      <c r="DA31" s="17">
        <v>2</v>
      </c>
      <c r="DB31" s="17">
        <v>2</v>
      </c>
      <c r="DC31" s="17">
        <v>2</v>
      </c>
      <c r="DD31" s="17">
        <v>2</v>
      </c>
      <c r="DE31" s="17">
        <v>2</v>
      </c>
      <c r="DF31" s="17">
        <v>2</v>
      </c>
      <c r="DG31" s="17">
        <v>2</v>
      </c>
      <c r="DH31" s="17">
        <v>2</v>
      </c>
      <c r="DI31" s="17">
        <v>2</v>
      </c>
      <c r="DJ31" s="17">
        <v>2</v>
      </c>
      <c r="DK31" s="17"/>
      <c r="DL31" s="17">
        <v>2</v>
      </c>
      <c r="DM31" s="17">
        <v>2</v>
      </c>
      <c r="DN31" s="17">
        <v>2</v>
      </c>
      <c r="DO31" s="17">
        <v>2</v>
      </c>
      <c r="DP31" s="17">
        <v>2</v>
      </c>
      <c r="DQ31" s="17">
        <v>2</v>
      </c>
      <c r="DR31" s="17">
        <v>2</v>
      </c>
      <c r="DS31" s="17">
        <v>2</v>
      </c>
      <c r="DT31" s="17">
        <v>2</v>
      </c>
      <c r="DU31" s="17">
        <v>2</v>
      </c>
      <c r="DV31" s="17">
        <v>2</v>
      </c>
      <c r="DW31" s="17">
        <v>2</v>
      </c>
      <c r="DX31" s="17">
        <v>2</v>
      </c>
      <c r="DY31" s="17">
        <v>2</v>
      </c>
      <c r="DZ31" s="17">
        <v>2</v>
      </c>
      <c r="EA31" s="17">
        <v>2</v>
      </c>
      <c r="EB31" s="17">
        <v>2</v>
      </c>
      <c r="EC31" s="17">
        <v>2</v>
      </c>
      <c r="ED31" s="17"/>
      <c r="EE31" s="17"/>
      <c r="EF31" s="17">
        <v>2</v>
      </c>
      <c r="EG31" s="17">
        <v>2</v>
      </c>
      <c r="EH31" s="17">
        <v>2</v>
      </c>
      <c r="EI31" s="17">
        <v>2</v>
      </c>
      <c r="EJ31" s="17">
        <v>2</v>
      </c>
      <c r="EK31" s="17">
        <v>2</v>
      </c>
      <c r="EL31" s="17">
        <v>2</v>
      </c>
      <c r="EM31" s="17">
        <v>2</v>
      </c>
      <c r="EN31" s="17">
        <v>2</v>
      </c>
      <c r="EO31" s="17">
        <v>2</v>
      </c>
      <c r="EP31" s="17"/>
      <c r="EQ31" s="17"/>
      <c r="ER31" s="17">
        <v>2</v>
      </c>
      <c r="ES31" s="17">
        <v>2</v>
      </c>
      <c r="ET31" s="17">
        <v>2</v>
      </c>
      <c r="EU31" s="17">
        <v>2</v>
      </c>
      <c r="EV31" s="17">
        <v>2</v>
      </c>
      <c r="EW31" s="17">
        <v>2</v>
      </c>
      <c r="EX31" s="17">
        <v>2</v>
      </c>
      <c r="EY31" s="17">
        <v>2</v>
      </c>
      <c r="EZ31" s="17">
        <v>2</v>
      </c>
      <c r="FA31" s="17">
        <v>2</v>
      </c>
      <c r="FB31" s="17">
        <v>2</v>
      </c>
      <c r="FC31" s="17">
        <v>2</v>
      </c>
      <c r="FD31" s="17">
        <v>2</v>
      </c>
      <c r="FE31" s="17">
        <v>2</v>
      </c>
      <c r="FF31" s="17">
        <v>2</v>
      </c>
      <c r="FG31" s="17">
        <v>2</v>
      </c>
      <c r="FH31" s="17">
        <v>2</v>
      </c>
      <c r="FI31" s="17">
        <v>2</v>
      </c>
      <c r="FJ31" s="17">
        <v>2</v>
      </c>
      <c r="FK31" s="17">
        <v>2</v>
      </c>
      <c r="FL31" s="17">
        <v>2</v>
      </c>
      <c r="FM31" s="17">
        <v>2</v>
      </c>
      <c r="FN31" s="17">
        <v>2</v>
      </c>
      <c r="FO31" s="17">
        <v>2</v>
      </c>
      <c r="FP31" s="17">
        <v>2</v>
      </c>
      <c r="FQ31" s="17">
        <v>2</v>
      </c>
      <c r="FR31" s="17">
        <v>2</v>
      </c>
      <c r="FS31" s="17">
        <v>2</v>
      </c>
      <c r="FT31" s="17">
        <v>2</v>
      </c>
      <c r="FU31" s="17"/>
      <c r="FV31" s="17">
        <v>2</v>
      </c>
      <c r="FW31" s="17">
        <v>2</v>
      </c>
      <c r="FX31" s="17">
        <v>2</v>
      </c>
      <c r="FY31" s="17">
        <v>2</v>
      </c>
      <c r="FZ31" s="17">
        <v>2</v>
      </c>
      <c r="GA31" s="17">
        <v>2</v>
      </c>
      <c r="GB31" s="17">
        <v>2</v>
      </c>
      <c r="GC31" s="17">
        <v>2</v>
      </c>
      <c r="GD31" s="17"/>
      <c r="GE31" s="17">
        <v>2</v>
      </c>
      <c r="GF31" s="17"/>
      <c r="GG31" s="17">
        <v>2</v>
      </c>
      <c r="GH31" s="17">
        <v>2</v>
      </c>
      <c r="GI31" s="17">
        <v>2</v>
      </c>
      <c r="GJ31" s="17">
        <v>2</v>
      </c>
      <c r="GK31" s="17">
        <v>2</v>
      </c>
      <c r="GL31" s="17">
        <v>2</v>
      </c>
      <c r="GM31" s="17">
        <v>2</v>
      </c>
      <c r="GN31" s="17">
        <v>2</v>
      </c>
      <c r="GO31" s="17"/>
      <c r="GP31" s="17">
        <v>2</v>
      </c>
      <c r="GQ31" s="17">
        <v>2</v>
      </c>
      <c r="GR31" s="17">
        <v>2</v>
      </c>
      <c r="GS31" s="17">
        <v>2</v>
      </c>
      <c r="GT31" s="17"/>
      <c r="GU31" s="17"/>
      <c r="GV31" s="17"/>
      <c r="GW31" s="17"/>
      <c r="GX31" s="17"/>
      <c r="GY31" s="17">
        <v>2</v>
      </c>
      <c r="GZ31" s="17">
        <v>2</v>
      </c>
      <c r="HA31" s="17"/>
      <c r="HB31" s="17"/>
      <c r="HC31" s="17"/>
      <c r="HD31" s="17"/>
      <c r="HE31" s="17">
        <v>1</v>
      </c>
      <c r="HF31" s="17">
        <v>2</v>
      </c>
      <c r="HG31" s="17">
        <v>2</v>
      </c>
      <c r="HH31" s="17">
        <v>1</v>
      </c>
      <c r="HI31" s="17">
        <v>2</v>
      </c>
      <c r="HJ31" s="17">
        <v>2</v>
      </c>
      <c r="HK31" s="17">
        <v>1</v>
      </c>
      <c r="HL31" s="17">
        <v>2</v>
      </c>
      <c r="HM31" s="17">
        <v>2</v>
      </c>
      <c r="HN31" s="17"/>
      <c r="HO31" s="17">
        <v>2</v>
      </c>
      <c r="HP31" s="17"/>
      <c r="HQ31" s="17"/>
      <c r="HR31" s="17">
        <v>2</v>
      </c>
      <c r="HS31" s="17"/>
      <c r="HT31" s="17">
        <v>2</v>
      </c>
      <c r="HU31" s="17">
        <v>2</v>
      </c>
      <c r="HV31" s="17">
        <v>2</v>
      </c>
      <c r="HW31" s="17">
        <v>2</v>
      </c>
      <c r="HX31" s="17">
        <v>2</v>
      </c>
      <c r="HY31" s="17"/>
      <c r="HZ31" s="17">
        <v>2</v>
      </c>
      <c r="IA31" s="17">
        <v>2</v>
      </c>
      <c r="IB31" s="17">
        <v>2</v>
      </c>
      <c r="IC31" s="17">
        <v>2</v>
      </c>
      <c r="ID31" s="17">
        <v>2</v>
      </c>
      <c r="IE31" s="17">
        <v>2</v>
      </c>
      <c r="IF31" s="17">
        <v>2</v>
      </c>
      <c r="IG31" s="17"/>
      <c r="IH31" s="17">
        <v>1</v>
      </c>
      <c r="II31" s="17">
        <v>2</v>
      </c>
      <c r="IJ31" s="17">
        <v>2</v>
      </c>
      <c r="IK31" s="17">
        <v>2</v>
      </c>
      <c r="IL31" s="17">
        <v>2</v>
      </c>
      <c r="IM31" s="17">
        <v>2</v>
      </c>
      <c r="IN31" s="17">
        <v>2</v>
      </c>
      <c r="IO31" s="17">
        <v>2</v>
      </c>
      <c r="IP31" s="17">
        <v>2</v>
      </c>
      <c r="IQ31" s="17">
        <v>2</v>
      </c>
      <c r="IR31" s="17">
        <v>2</v>
      </c>
      <c r="IS31" s="17">
        <v>1</v>
      </c>
      <c r="IT31" s="17">
        <v>2</v>
      </c>
      <c r="IU31" s="17">
        <v>2</v>
      </c>
      <c r="IV31" s="17">
        <v>2</v>
      </c>
      <c r="IW31" s="17"/>
      <c r="IX31" s="17">
        <v>2</v>
      </c>
      <c r="IY31" s="17">
        <v>2</v>
      </c>
      <c r="IZ31" s="17"/>
      <c r="JA31" s="17">
        <v>2</v>
      </c>
      <c r="JB31" s="17"/>
      <c r="JC31" s="17"/>
      <c r="JD31" s="17">
        <v>2</v>
      </c>
      <c r="JE31" s="17">
        <v>2</v>
      </c>
      <c r="JF31" s="17"/>
      <c r="JG31" s="17">
        <v>2</v>
      </c>
      <c r="JH31" s="17">
        <v>2</v>
      </c>
      <c r="JI31" s="17">
        <v>2</v>
      </c>
      <c r="JJ31" s="17"/>
      <c r="JK31" s="17">
        <v>2</v>
      </c>
      <c r="JL31" s="17">
        <v>2</v>
      </c>
      <c r="JM31" s="17">
        <v>2</v>
      </c>
      <c r="JN31" s="17">
        <v>2</v>
      </c>
      <c r="JO31" s="17">
        <v>2</v>
      </c>
      <c r="JP31" s="17">
        <v>2</v>
      </c>
      <c r="JQ31" s="17">
        <v>2</v>
      </c>
      <c r="JR31" s="17">
        <v>2</v>
      </c>
      <c r="JS31" s="17">
        <v>2</v>
      </c>
      <c r="JT31" s="17">
        <v>1</v>
      </c>
      <c r="JU31" s="17"/>
      <c r="JV31" s="17"/>
      <c r="JW31" s="17">
        <v>2</v>
      </c>
      <c r="JX31" s="17">
        <v>2</v>
      </c>
      <c r="JY31" s="17"/>
      <c r="JZ31" s="17">
        <v>2</v>
      </c>
      <c r="KA31" s="17"/>
      <c r="KB31" s="17">
        <v>1</v>
      </c>
      <c r="KC31" s="17">
        <v>2</v>
      </c>
      <c r="KD31" s="17">
        <v>2</v>
      </c>
      <c r="KE31" s="17"/>
      <c r="KF31" s="17"/>
      <c r="KG31" s="17">
        <v>2</v>
      </c>
      <c r="KH31" s="17">
        <v>2</v>
      </c>
      <c r="KI31" s="17">
        <v>2</v>
      </c>
      <c r="KJ31" s="17">
        <v>2</v>
      </c>
      <c r="KK31" s="17">
        <v>2</v>
      </c>
      <c r="KL31" s="17"/>
      <c r="KM31" s="17">
        <v>2</v>
      </c>
      <c r="KN31" s="17">
        <v>1</v>
      </c>
      <c r="KO31" s="17">
        <v>2</v>
      </c>
      <c r="KP31" s="17">
        <v>1</v>
      </c>
      <c r="KQ31" s="17">
        <v>2</v>
      </c>
      <c r="KR31" s="17">
        <v>1</v>
      </c>
      <c r="KS31" s="17">
        <v>1</v>
      </c>
      <c r="KT31" s="17">
        <v>1</v>
      </c>
      <c r="KU31" s="17">
        <v>1</v>
      </c>
      <c r="KV31" s="17">
        <v>1</v>
      </c>
      <c r="KW31" s="17">
        <v>1</v>
      </c>
      <c r="KX31" s="17">
        <v>2</v>
      </c>
      <c r="KY31" s="17">
        <v>2</v>
      </c>
      <c r="KZ31" s="17">
        <v>2</v>
      </c>
      <c r="LA31" s="17">
        <v>2</v>
      </c>
      <c r="LB31" s="17">
        <v>1</v>
      </c>
      <c r="LC31" s="17">
        <v>1</v>
      </c>
      <c r="LD31" s="17">
        <v>2</v>
      </c>
      <c r="LE31" s="17">
        <v>2</v>
      </c>
      <c r="LF31" s="17">
        <v>1</v>
      </c>
      <c r="LG31" s="17">
        <v>1</v>
      </c>
      <c r="LH31" s="17">
        <v>1</v>
      </c>
      <c r="LI31" s="17">
        <v>1</v>
      </c>
      <c r="LJ31" s="17"/>
      <c r="LK31" s="17">
        <v>1</v>
      </c>
      <c r="LL31" s="17">
        <v>2</v>
      </c>
      <c r="LM31" s="17"/>
      <c r="LN31" s="17">
        <v>2</v>
      </c>
      <c r="LO31" s="17">
        <v>2</v>
      </c>
      <c r="LP31" s="17">
        <v>2</v>
      </c>
      <c r="LQ31" s="17">
        <v>1</v>
      </c>
      <c r="LR31" s="17">
        <v>2</v>
      </c>
      <c r="LS31" s="17">
        <v>2</v>
      </c>
      <c r="LT31" s="17">
        <v>2</v>
      </c>
      <c r="LU31" s="17">
        <v>2</v>
      </c>
      <c r="LV31" s="17">
        <v>1</v>
      </c>
      <c r="LW31" s="17">
        <v>1</v>
      </c>
      <c r="LX31" s="17">
        <v>2</v>
      </c>
      <c r="LY31" s="17">
        <v>2</v>
      </c>
      <c r="LZ31" s="17">
        <v>2</v>
      </c>
      <c r="MA31" s="17">
        <v>1</v>
      </c>
      <c r="MB31" s="17">
        <v>1</v>
      </c>
      <c r="MC31" s="17"/>
      <c r="MD31" s="17">
        <v>2</v>
      </c>
      <c r="ME31" s="17">
        <v>2</v>
      </c>
      <c r="MF31" s="17">
        <v>1</v>
      </c>
      <c r="MG31" s="17">
        <v>2</v>
      </c>
      <c r="MH31" s="17">
        <v>1</v>
      </c>
      <c r="MI31" s="17">
        <v>2</v>
      </c>
      <c r="MJ31" s="17">
        <v>2</v>
      </c>
      <c r="MK31" s="17">
        <v>1</v>
      </c>
      <c r="ML31" s="17">
        <v>1</v>
      </c>
      <c r="MM31" s="17">
        <v>1</v>
      </c>
      <c r="MN31" s="17">
        <v>2</v>
      </c>
      <c r="MO31" s="17">
        <v>1</v>
      </c>
      <c r="MP31" s="17">
        <v>2</v>
      </c>
      <c r="MQ31" s="17">
        <v>1</v>
      </c>
      <c r="MR31" s="17">
        <v>2</v>
      </c>
      <c r="MS31" s="17">
        <v>1</v>
      </c>
      <c r="MT31" s="17">
        <v>1</v>
      </c>
      <c r="MU31" s="17">
        <v>2</v>
      </c>
      <c r="MV31" s="17">
        <v>2</v>
      </c>
      <c r="MW31" s="17">
        <v>2</v>
      </c>
      <c r="MX31" s="17">
        <v>1</v>
      </c>
      <c r="MY31" s="17"/>
      <c r="MZ31" s="17"/>
      <c r="NA31" s="17"/>
      <c r="NB31" s="17">
        <v>2</v>
      </c>
      <c r="NC31" s="17">
        <v>2</v>
      </c>
      <c r="ND31" s="17"/>
      <c r="NE31" s="17">
        <v>2</v>
      </c>
      <c r="NF31" s="17">
        <v>2</v>
      </c>
      <c r="NG31" s="17">
        <v>1</v>
      </c>
      <c r="NH31" s="17">
        <v>1</v>
      </c>
      <c r="NI31" s="17">
        <v>1</v>
      </c>
      <c r="NJ31" s="17">
        <v>2</v>
      </c>
      <c r="NK31" s="17">
        <v>2</v>
      </c>
      <c r="NL31" s="17">
        <v>2</v>
      </c>
      <c r="NM31" s="17">
        <v>2</v>
      </c>
      <c r="NN31" s="17"/>
      <c r="NO31" s="17">
        <v>1</v>
      </c>
      <c r="NP31" s="17">
        <v>2</v>
      </c>
      <c r="NQ31" s="17"/>
      <c r="NR31" s="17">
        <v>1</v>
      </c>
      <c r="NS31" s="17">
        <v>1</v>
      </c>
      <c r="NT31" s="17">
        <v>2</v>
      </c>
      <c r="NU31" s="17">
        <v>2</v>
      </c>
      <c r="NV31" s="17">
        <v>2</v>
      </c>
      <c r="NW31" s="17">
        <v>1</v>
      </c>
      <c r="NX31" s="17">
        <v>2</v>
      </c>
      <c r="NY31" s="17">
        <v>2</v>
      </c>
      <c r="NZ31" s="17"/>
      <c r="OA31" s="17">
        <v>2</v>
      </c>
      <c r="OB31" s="17"/>
      <c r="OC31" s="17">
        <v>2</v>
      </c>
      <c r="OD31" s="17">
        <v>2</v>
      </c>
      <c r="OE31" s="17">
        <v>2</v>
      </c>
      <c r="OF31" s="17"/>
      <c r="OG31" s="17">
        <v>2</v>
      </c>
      <c r="OH31" s="17">
        <v>2</v>
      </c>
      <c r="OI31" s="17">
        <v>1</v>
      </c>
      <c r="OJ31" s="17">
        <v>2</v>
      </c>
      <c r="OK31" s="17">
        <v>2</v>
      </c>
      <c r="OL31" s="17">
        <v>2</v>
      </c>
      <c r="OM31" s="17"/>
      <c r="ON31" s="17"/>
      <c r="OO31" s="17">
        <v>2</v>
      </c>
      <c r="OP31" s="17">
        <v>2</v>
      </c>
      <c r="OQ31" s="17">
        <v>2</v>
      </c>
      <c r="OR31" s="17">
        <v>2</v>
      </c>
      <c r="OS31" s="17">
        <v>2</v>
      </c>
      <c r="OT31" s="17">
        <v>1</v>
      </c>
      <c r="OU31" s="17">
        <v>1</v>
      </c>
      <c r="OV31" s="17">
        <v>1</v>
      </c>
      <c r="OW31" s="17">
        <v>1</v>
      </c>
      <c r="OX31" s="17"/>
      <c r="OY31" s="17">
        <v>1</v>
      </c>
      <c r="OZ31" s="17"/>
      <c r="PA31" s="17">
        <v>1</v>
      </c>
      <c r="PB31" s="17"/>
      <c r="PC31" s="17"/>
      <c r="PD31" s="17">
        <v>1</v>
      </c>
      <c r="PE31" s="17">
        <v>1</v>
      </c>
      <c r="PF31" s="17">
        <v>2</v>
      </c>
      <c r="PG31" s="17">
        <v>2</v>
      </c>
      <c r="PH31" s="17">
        <v>1</v>
      </c>
      <c r="PI31" s="17">
        <v>2</v>
      </c>
      <c r="PJ31" s="17">
        <v>2</v>
      </c>
      <c r="PK31" s="17">
        <v>2</v>
      </c>
      <c r="PL31" s="17">
        <v>1</v>
      </c>
      <c r="PM31" s="17"/>
      <c r="PN31" s="17"/>
      <c r="PO31" s="17">
        <v>2</v>
      </c>
      <c r="PP31" s="17">
        <v>1</v>
      </c>
      <c r="PQ31" s="17">
        <v>2</v>
      </c>
      <c r="PR31" s="17"/>
      <c r="PS31" s="17">
        <v>1</v>
      </c>
      <c r="PT31" s="17">
        <v>2</v>
      </c>
      <c r="PU31" s="17">
        <v>1</v>
      </c>
      <c r="PV31" s="17">
        <v>1</v>
      </c>
      <c r="PW31" s="17" t="s">
        <v>506</v>
      </c>
      <c r="PX31" s="17"/>
      <c r="PY31" s="17"/>
      <c r="PZ31" s="17"/>
      <c r="QA31" s="17"/>
      <c r="QB31" s="17"/>
      <c r="QC31" s="17" t="s">
        <v>507</v>
      </c>
      <c r="QD31" s="17" t="s">
        <v>507</v>
      </c>
      <c r="QE31" s="17" t="s">
        <v>508</v>
      </c>
      <c r="QF31" s="17" t="s">
        <v>508</v>
      </c>
      <c r="QG31" s="17"/>
      <c r="QH31" s="17" t="s">
        <v>508</v>
      </c>
      <c r="QI31" s="17">
        <v>1</v>
      </c>
      <c r="QJ31" s="17">
        <v>1</v>
      </c>
      <c r="QK31" s="17">
        <v>0</v>
      </c>
      <c r="QL31" s="17">
        <v>1</v>
      </c>
      <c r="QM31" s="17">
        <v>0</v>
      </c>
      <c r="QN31" s="17">
        <v>1</v>
      </c>
      <c r="QO31" s="17"/>
      <c r="QP31" s="17">
        <v>1</v>
      </c>
      <c r="QQ31" s="17">
        <v>1</v>
      </c>
      <c r="QR31" s="17">
        <v>1</v>
      </c>
      <c r="QS31" s="17">
        <v>0</v>
      </c>
      <c r="QT31" s="17">
        <v>1</v>
      </c>
      <c r="QU31" s="17">
        <v>1</v>
      </c>
      <c r="QV31" s="17">
        <v>1</v>
      </c>
      <c r="QW31" s="17">
        <v>1</v>
      </c>
      <c r="QX31" s="17">
        <v>0</v>
      </c>
      <c r="QY31" s="17">
        <v>0</v>
      </c>
      <c r="QZ31" s="17">
        <v>1</v>
      </c>
      <c r="RA31" s="17">
        <v>1</v>
      </c>
      <c r="RB31" s="17">
        <v>0</v>
      </c>
      <c r="RC31" s="17">
        <v>1</v>
      </c>
      <c r="RD31" s="17">
        <v>0</v>
      </c>
      <c r="RE31" s="17"/>
      <c r="RF31" s="17">
        <v>1</v>
      </c>
      <c r="RG31" s="17">
        <v>1</v>
      </c>
      <c r="RH31" s="17">
        <v>1</v>
      </c>
      <c r="RI31" s="17">
        <v>1</v>
      </c>
      <c r="RJ31" s="17">
        <v>1</v>
      </c>
      <c r="RK31" s="17">
        <v>1</v>
      </c>
      <c r="RL31" s="17">
        <v>1</v>
      </c>
      <c r="RM31" s="17">
        <v>1</v>
      </c>
      <c r="RN31" s="17">
        <v>1</v>
      </c>
      <c r="RO31" s="17">
        <v>1</v>
      </c>
      <c r="RP31" s="17">
        <v>1</v>
      </c>
      <c r="RQ31" s="17">
        <v>1</v>
      </c>
      <c r="RR31" s="17">
        <v>0</v>
      </c>
      <c r="RS31" s="17">
        <v>1</v>
      </c>
      <c r="RT31" s="17"/>
      <c r="RU31" s="17">
        <v>1</v>
      </c>
      <c r="RV31" s="17">
        <v>0</v>
      </c>
      <c r="RW31" s="17">
        <v>1</v>
      </c>
      <c r="RX31" s="17">
        <v>1</v>
      </c>
      <c r="RY31" s="17">
        <v>0</v>
      </c>
      <c r="RZ31" s="17">
        <v>0</v>
      </c>
      <c r="SA31" s="17">
        <v>0</v>
      </c>
      <c r="SB31" s="17"/>
      <c r="SC31" s="17"/>
      <c r="SD31" s="17">
        <v>0</v>
      </c>
      <c r="SE31" s="17">
        <v>0</v>
      </c>
      <c r="SF31" s="17">
        <v>0</v>
      </c>
      <c r="SG31" s="17">
        <v>0</v>
      </c>
      <c r="SH31" s="17">
        <v>1</v>
      </c>
      <c r="SI31" s="17">
        <v>10031</v>
      </c>
      <c r="SJ31" s="19">
        <f t="shared" si="3"/>
        <v>59</v>
      </c>
      <c r="SK31" s="19">
        <f t="shared" si="0"/>
        <v>333</v>
      </c>
      <c r="SL31" s="19">
        <f t="shared" si="1"/>
        <v>274</v>
      </c>
      <c r="SM31" s="9">
        <v>10031</v>
      </c>
      <c r="SN31" s="9" t="s">
        <v>509</v>
      </c>
      <c r="SO31" s="10">
        <v>1</v>
      </c>
      <c r="SP31" s="9">
        <v>1</v>
      </c>
      <c r="SQ31" s="11" t="s">
        <v>517</v>
      </c>
      <c r="SR31" s="9">
        <v>16</v>
      </c>
      <c r="SS31" s="28">
        <v>63</v>
      </c>
      <c r="ST31" s="28">
        <v>17</v>
      </c>
      <c r="SU31" s="28">
        <v>351</v>
      </c>
      <c r="SV31" s="28">
        <v>91</v>
      </c>
      <c r="SW31" s="28">
        <v>289</v>
      </c>
      <c r="SX31" s="28">
        <v>96</v>
      </c>
      <c r="SY31" s="29">
        <v>40</v>
      </c>
      <c r="SZ31" s="30">
        <v>20</v>
      </c>
      <c r="TA31" s="31">
        <v>27</v>
      </c>
      <c r="TB31" s="31">
        <v>75</v>
      </c>
    </row>
    <row r="32" spans="1:522" ht="15.75" customHeight="1" x14ac:dyDescent="0.2">
      <c r="A32" s="17">
        <v>10032</v>
      </c>
      <c r="B32" s="17" t="s">
        <v>501</v>
      </c>
      <c r="C32" s="17" t="s">
        <v>502</v>
      </c>
      <c r="D32" s="17" t="s">
        <v>512</v>
      </c>
      <c r="E32" s="17" t="s">
        <v>509</v>
      </c>
      <c r="F32" s="18">
        <v>38011</v>
      </c>
      <c r="G32" s="18">
        <v>38519</v>
      </c>
      <c r="H32" s="14">
        <f t="shared" si="2"/>
        <v>16</v>
      </c>
      <c r="I32" s="17" t="s">
        <v>505</v>
      </c>
      <c r="J32" s="17">
        <v>1</v>
      </c>
      <c r="K32" s="17">
        <v>1</v>
      </c>
      <c r="L32" s="17">
        <v>1</v>
      </c>
      <c r="M32" s="17">
        <v>1</v>
      </c>
      <c r="N32" s="17"/>
      <c r="O32" s="17"/>
      <c r="P32" s="17"/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/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/>
      <c r="AD32" s="17"/>
      <c r="AE32" s="17">
        <v>1</v>
      </c>
      <c r="AF32" s="17">
        <v>1</v>
      </c>
      <c r="AG32" s="17">
        <v>1</v>
      </c>
      <c r="AH32" s="17">
        <v>1</v>
      </c>
      <c r="AI32" s="17"/>
      <c r="AJ32" s="17"/>
      <c r="AK32" s="17">
        <v>1</v>
      </c>
      <c r="AL32" s="17"/>
      <c r="AM32" s="17"/>
      <c r="AN32" s="17">
        <v>1</v>
      </c>
      <c r="AO32" s="17" t="s">
        <v>506</v>
      </c>
      <c r="AP32" s="17"/>
      <c r="AQ32" s="17">
        <v>2</v>
      </c>
      <c r="AR32" s="17">
        <v>1</v>
      </c>
      <c r="AS32" s="17">
        <v>1</v>
      </c>
      <c r="AT32" s="17">
        <v>1</v>
      </c>
      <c r="AU32" s="17">
        <v>2</v>
      </c>
      <c r="AV32" s="17">
        <v>2</v>
      </c>
      <c r="AW32" s="17">
        <v>1</v>
      </c>
      <c r="AX32" s="17">
        <v>2</v>
      </c>
      <c r="AY32" s="17">
        <v>2</v>
      </c>
      <c r="AZ32" s="17">
        <v>1</v>
      </c>
      <c r="BA32" s="17">
        <v>2</v>
      </c>
      <c r="BB32" s="17">
        <v>1</v>
      </c>
      <c r="BC32" s="17">
        <v>1</v>
      </c>
      <c r="BD32" s="17">
        <v>1</v>
      </c>
      <c r="BE32" s="17">
        <v>1</v>
      </c>
      <c r="BF32" s="17">
        <v>2</v>
      </c>
      <c r="BG32" s="17"/>
      <c r="BH32" s="17">
        <v>1</v>
      </c>
      <c r="BI32" s="17">
        <v>2</v>
      </c>
      <c r="BJ32" s="17">
        <v>1</v>
      </c>
      <c r="BK32" s="17">
        <v>1</v>
      </c>
      <c r="BL32" s="17">
        <v>1</v>
      </c>
      <c r="BM32" s="17"/>
      <c r="BN32" s="17">
        <v>2</v>
      </c>
      <c r="BO32" s="17">
        <v>1</v>
      </c>
      <c r="BP32" s="17">
        <v>2</v>
      </c>
      <c r="BQ32" s="17">
        <v>1</v>
      </c>
      <c r="BR32" s="17">
        <v>1</v>
      </c>
      <c r="BS32" s="17"/>
      <c r="BT32" s="17">
        <v>1</v>
      </c>
      <c r="BU32" s="17"/>
      <c r="BV32" s="17">
        <v>1</v>
      </c>
      <c r="BW32" s="17">
        <v>2</v>
      </c>
      <c r="BX32" s="17">
        <v>1</v>
      </c>
      <c r="BY32" s="17"/>
      <c r="BZ32" s="17">
        <v>1</v>
      </c>
      <c r="CA32" s="17">
        <v>1</v>
      </c>
      <c r="CB32" s="17">
        <v>1</v>
      </c>
      <c r="CC32" s="17"/>
      <c r="CD32" s="17">
        <v>1</v>
      </c>
      <c r="CE32" s="17"/>
      <c r="CF32" s="17"/>
      <c r="CG32" s="17">
        <v>1</v>
      </c>
      <c r="CH32" s="17">
        <v>2</v>
      </c>
      <c r="CI32" s="17"/>
      <c r="CJ32" s="17">
        <v>1</v>
      </c>
      <c r="CK32" s="17"/>
      <c r="CL32" s="17"/>
      <c r="CM32" s="17">
        <v>2</v>
      </c>
      <c r="CN32" s="17"/>
      <c r="CO32" s="17"/>
      <c r="CP32" s="17">
        <v>2</v>
      </c>
      <c r="CQ32" s="17"/>
      <c r="CR32" s="17"/>
      <c r="CS32" s="17">
        <v>1</v>
      </c>
      <c r="CT32" s="17">
        <v>1</v>
      </c>
      <c r="CU32" s="17">
        <v>1</v>
      </c>
      <c r="CV32" s="17">
        <v>2</v>
      </c>
      <c r="CW32" s="17">
        <v>2</v>
      </c>
      <c r="CX32" s="17"/>
      <c r="CY32" s="17">
        <v>2</v>
      </c>
      <c r="CZ32" s="17"/>
      <c r="DA32" s="17"/>
      <c r="DB32" s="17">
        <v>1</v>
      </c>
      <c r="DC32" s="17"/>
      <c r="DD32" s="17">
        <v>2</v>
      </c>
      <c r="DE32" s="17">
        <v>2</v>
      </c>
      <c r="DF32" s="17"/>
      <c r="DG32" s="17"/>
      <c r="DH32" s="17"/>
      <c r="DI32" s="17"/>
      <c r="DJ32" s="17"/>
      <c r="DK32" s="17">
        <v>1</v>
      </c>
      <c r="DL32" s="17">
        <v>1</v>
      </c>
      <c r="DM32" s="17">
        <v>2</v>
      </c>
      <c r="DN32" s="17"/>
      <c r="DO32" s="17"/>
      <c r="DP32" s="17">
        <v>2</v>
      </c>
      <c r="DQ32" s="17">
        <v>2</v>
      </c>
      <c r="DR32" s="17"/>
      <c r="DS32" s="17"/>
      <c r="DT32" s="17"/>
      <c r="DU32" s="17"/>
      <c r="DV32" s="17"/>
      <c r="DW32" s="17"/>
      <c r="DX32" s="17"/>
      <c r="DY32" s="17">
        <v>2</v>
      </c>
      <c r="DZ32" s="17"/>
      <c r="EA32" s="17"/>
      <c r="EB32" s="17">
        <v>1</v>
      </c>
      <c r="EC32" s="17"/>
      <c r="ED32" s="17"/>
      <c r="EE32" s="17"/>
      <c r="EF32" s="17"/>
      <c r="EG32" s="17">
        <v>2</v>
      </c>
      <c r="EH32" s="17"/>
      <c r="EI32" s="17"/>
      <c r="EJ32" s="17"/>
      <c r="EK32" s="17">
        <v>2</v>
      </c>
      <c r="EL32" s="17"/>
      <c r="EM32" s="17">
        <v>1</v>
      </c>
      <c r="EN32" s="17"/>
      <c r="EO32" s="17">
        <v>2</v>
      </c>
      <c r="EP32" s="17"/>
      <c r="EQ32" s="17"/>
      <c r="ER32" s="17"/>
      <c r="ES32" s="17"/>
      <c r="ET32" s="17"/>
      <c r="EU32" s="17"/>
      <c r="EV32" s="17">
        <v>1</v>
      </c>
      <c r="EW32" s="17"/>
      <c r="EX32" s="17">
        <v>1</v>
      </c>
      <c r="EY32" s="17"/>
      <c r="EZ32" s="17"/>
      <c r="FA32" s="17"/>
      <c r="FB32" s="17">
        <v>1</v>
      </c>
      <c r="FC32" s="17"/>
      <c r="FD32" s="17">
        <v>1</v>
      </c>
      <c r="FE32" s="17"/>
      <c r="FF32" s="17"/>
      <c r="FG32" s="17">
        <v>1</v>
      </c>
      <c r="FH32" s="17">
        <v>1</v>
      </c>
      <c r="FI32" s="17">
        <v>1</v>
      </c>
      <c r="FJ32" s="17">
        <v>1</v>
      </c>
      <c r="FK32" s="17"/>
      <c r="FL32" s="17"/>
      <c r="FM32" s="17"/>
      <c r="FN32" s="17">
        <v>1</v>
      </c>
      <c r="FO32" s="17">
        <v>1</v>
      </c>
      <c r="FP32" s="17"/>
      <c r="FQ32" s="17">
        <v>2</v>
      </c>
      <c r="FR32" s="17">
        <v>2</v>
      </c>
      <c r="FS32" s="17">
        <v>2</v>
      </c>
      <c r="FT32" s="17">
        <v>2</v>
      </c>
      <c r="FU32" s="17">
        <v>1</v>
      </c>
      <c r="FV32" s="17"/>
      <c r="FW32" s="17">
        <v>2</v>
      </c>
      <c r="FX32" s="17"/>
      <c r="FY32" s="17"/>
      <c r="FZ32" s="17">
        <v>1</v>
      </c>
      <c r="GA32" s="17"/>
      <c r="GB32" s="17">
        <v>1</v>
      </c>
      <c r="GC32" s="17"/>
      <c r="GD32" s="17"/>
      <c r="GE32" s="17">
        <v>1</v>
      </c>
      <c r="GF32" s="17"/>
      <c r="GG32" s="17">
        <v>1</v>
      </c>
      <c r="GH32" s="17">
        <v>2</v>
      </c>
      <c r="GI32" s="17">
        <v>1</v>
      </c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>
        <v>2</v>
      </c>
      <c r="GY32" s="17">
        <v>1</v>
      </c>
      <c r="GZ32" s="17">
        <v>1</v>
      </c>
      <c r="HA32" s="17"/>
      <c r="HB32" s="17"/>
      <c r="HC32" s="17"/>
      <c r="HD32" s="17">
        <v>1</v>
      </c>
      <c r="HE32" s="17"/>
      <c r="HF32" s="17">
        <v>1</v>
      </c>
      <c r="HG32" s="17"/>
      <c r="HH32" s="17"/>
      <c r="HI32" s="17">
        <v>1</v>
      </c>
      <c r="HJ32" s="17"/>
      <c r="HK32" s="17">
        <v>1</v>
      </c>
      <c r="HL32" s="17"/>
      <c r="HM32" s="17">
        <v>1</v>
      </c>
      <c r="HN32" s="17"/>
      <c r="HO32" s="17">
        <v>1</v>
      </c>
      <c r="HP32" s="17"/>
      <c r="HQ32" s="17"/>
      <c r="HR32" s="17"/>
      <c r="HS32" s="17"/>
      <c r="HT32" s="17">
        <v>1</v>
      </c>
      <c r="HU32" s="17">
        <v>1</v>
      </c>
      <c r="HV32" s="17"/>
      <c r="HW32" s="17"/>
      <c r="HX32" s="17">
        <v>1</v>
      </c>
      <c r="HY32" s="17"/>
      <c r="HZ32" s="17">
        <v>1</v>
      </c>
      <c r="IA32" s="17"/>
      <c r="IB32" s="17"/>
      <c r="IC32" s="17"/>
      <c r="ID32" s="17"/>
      <c r="IE32" s="17"/>
      <c r="IF32" s="17"/>
      <c r="IG32" s="17"/>
      <c r="IH32" s="17"/>
      <c r="II32" s="17"/>
      <c r="IJ32" s="17">
        <v>2</v>
      </c>
      <c r="IK32" s="17">
        <v>1</v>
      </c>
      <c r="IL32" s="17">
        <v>1</v>
      </c>
      <c r="IM32" s="17"/>
      <c r="IN32" s="17"/>
      <c r="IO32" s="17"/>
      <c r="IP32" s="17">
        <v>2</v>
      </c>
      <c r="IQ32" s="17"/>
      <c r="IR32" s="17"/>
      <c r="IS32" s="17"/>
      <c r="IT32" s="17">
        <v>1</v>
      </c>
      <c r="IU32" s="17"/>
      <c r="IV32" s="17"/>
      <c r="IW32" s="17"/>
      <c r="IX32" s="17"/>
      <c r="IY32" s="17"/>
      <c r="IZ32" s="17"/>
      <c r="JA32" s="17">
        <v>2</v>
      </c>
      <c r="JB32" s="17"/>
      <c r="JC32" s="17"/>
      <c r="JD32" s="17"/>
      <c r="JE32" s="17"/>
      <c r="JF32" s="17"/>
      <c r="JG32" s="17">
        <v>1</v>
      </c>
      <c r="JH32" s="17">
        <v>1</v>
      </c>
      <c r="JI32" s="17"/>
      <c r="JJ32" s="17"/>
      <c r="JK32" s="17">
        <v>2</v>
      </c>
      <c r="JL32" s="17">
        <v>1</v>
      </c>
      <c r="JM32" s="17"/>
      <c r="JN32" s="17"/>
      <c r="JO32" s="17"/>
      <c r="JP32" s="17"/>
      <c r="JQ32" s="17">
        <v>2</v>
      </c>
      <c r="JR32" s="17">
        <v>1</v>
      </c>
      <c r="JS32" s="17"/>
      <c r="JT32" s="17"/>
      <c r="JU32" s="17"/>
      <c r="JV32" s="17"/>
      <c r="JW32" s="17"/>
      <c r="JX32" s="17">
        <v>1</v>
      </c>
      <c r="JY32" s="17">
        <v>1</v>
      </c>
      <c r="JZ32" s="17">
        <v>2</v>
      </c>
      <c r="KA32" s="17"/>
      <c r="KB32" s="17"/>
      <c r="KC32" s="17">
        <v>2</v>
      </c>
      <c r="KD32" s="17">
        <v>2</v>
      </c>
      <c r="KE32" s="17"/>
      <c r="KF32" s="17">
        <v>1</v>
      </c>
      <c r="KG32" s="17"/>
      <c r="KH32" s="17">
        <v>2</v>
      </c>
      <c r="KI32" s="17"/>
      <c r="KJ32" s="17">
        <v>1</v>
      </c>
      <c r="KK32" s="17"/>
      <c r="KL32" s="17"/>
      <c r="KM32" s="17">
        <v>1</v>
      </c>
      <c r="KN32" s="17"/>
      <c r="KO32" s="17"/>
      <c r="KP32" s="17">
        <v>2</v>
      </c>
      <c r="KQ32" s="17"/>
      <c r="KR32" s="17"/>
      <c r="KS32" s="17"/>
      <c r="KT32" s="17"/>
      <c r="KU32" s="17"/>
      <c r="KV32" s="17">
        <v>1</v>
      </c>
      <c r="KW32" s="17"/>
      <c r="KX32" s="17"/>
      <c r="KY32" s="17">
        <v>1</v>
      </c>
      <c r="KZ32" s="17"/>
      <c r="LA32" s="17">
        <v>1</v>
      </c>
      <c r="LB32" s="17"/>
      <c r="LC32" s="17">
        <v>1</v>
      </c>
      <c r="LD32" s="17"/>
      <c r="LE32" s="17"/>
      <c r="LF32" s="17"/>
      <c r="LG32" s="17">
        <v>1</v>
      </c>
      <c r="LH32" s="17"/>
      <c r="LI32" s="17">
        <v>2</v>
      </c>
      <c r="LJ32" s="17">
        <v>1</v>
      </c>
      <c r="LK32" s="17"/>
      <c r="LL32" s="17">
        <v>1</v>
      </c>
      <c r="LM32" s="17"/>
      <c r="LN32" s="17"/>
      <c r="LO32" s="17"/>
      <c r="LP32" s="17">
        <v>1</v>
      </c>
      <c r="LQ32" s="17">
        <v>1</v>
      </c>
      <c r="LR32" s="17">
        <v>2</v>
      </c>
      <c r="LS32" s="17">
        <v>1</v>
      </c>
      <c r="LT32" s="17">
        <v>1</v>
      </c>
      <c r="LU32" s="17"/>
      <c r="LV32" s="17"/>
      <c r="LW32" s="17"/>
      <c r="LX32" s="17"/>
      <c r="LY32" s="17"/>
      <c r="LZ32" s="17"/>
      <c r="MA32" s="17"/>
      <c r="MB32" s="17">
        <v>1</v>
      </c>
      <c r="MC32" s="17"/>
      <c r="MD32" s="17">
        <v>1</v>
      </c>
      <c r="ME32" s="17">
        <v>1</v>
      </c>
      <c r="MF32" s="17"/>
      <c r="MG32" s="17"/>
      <c r="MH32" s="17"/>
      <c r="MI32" s="17"/>
      <c r="MJ32" s="17"/>
      <c r="MK32" s="17"/>
      <c r="ML32" s="17"/>
      <c r="MM32" s="17">
        <v>2</v>
      </c>
      <c r="MN32" s="17"/>
      <c r="MO32" s="17"/>
      <c r="MP32" s="17">
        <v>2</v>
      </c>
      <c r="MQ32" s="17"/>
      <c r="MR32" s="17">
        <v>1</v>
      </c>
      <c r="MS32" s="17"/>
      <c r="MT32" s="17"/>
      <c r="MU32" s="17"/>
      <c r="MV32" s="17"/>
      <c r="MW32" s="17"/>
      <c r="MX32" s="17"/>
      <c r="MY32" s="17"/>
      <c r="MZ32" s="17"/>
      <c r="NA32" s="17"/>
      <c r="NB32" s="17">
        <v>2</v>
      </c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>
        <v>2</v>
      </c>
      <c r="NT32" s="17"/>
      <c r="NU32" s="17"/>
      <c r="NV32" s="17"/>
      <c r="NW32" s="17">
        <v>1</v>
      </c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>
        <v>2</v>
      </c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>
        <v>1</v>
      </c>
      <c r="PG32" s="17"/>
      <c r="PH32" s="17"/>
      <c r="PI32" s="17"/>
      <c r="PJ32" s="17"/>
      <c r="PK32" s="17">
        <v>1</v>
      </c>
      <c r="PL32" s="17"/>
      <c r="PM32" s="17"/>
      <c r="PN32" s="17">
        <v>2</v>
      </c>
      <c r="PO32" s="17"/>
      <c r="PP32" s="17"/>
      <c r="PQ32" s="17">
        <v>1</v>
      </c>
      <c r="PR32" s="17"/>
      <c r="PS32" s="17"/>
      <c r="PT32" s="17"/>
      <c r="PU32" s="17"/>
      <c r="PV32" s="17"/>
      <c r="PW32" s="17" t="s">
        <v>506</v>
      </c>
      <c r="PX32" s="17" t="s">
        <v>506</v>
      </c>
      <c r="PY32" s="17" t="s">
        <v>506</v>
      </c>
      <c r="PZ32" s="17" t="s">
        <v>506</v>
      </c>
      <c r="QA32" s="17" t="s">
        <v>506</v>
      </c>
      <c r="QB32" s="17" t="s">
        <v>506</v>
      </c>
      <c r="QC32" s="17" t="s">
        <v>508</v>
      </c>
      <c r="QD32" s="17" t="s">
        <v>508</v>
      </c>
      <c r="QE32" s="17" t="s">
        <v>508</v>
      </c>
      <c r="QF32" s="17" t="s">
        <v>507</v>
      </c>
      <c r="QG32" s="17" t="s">
        <v>508</v>
      </c>
      <c r="QH32" s="17" t="s">
        <v>506</v>
      </c>
      <c r="QI32" s="17">
        <v>1</v>
      </c>
      <c r="QJ32" s="17">
        <v>1</v>
      </c>
      <c r="QK32" s="17">
        <v>1</v>
      </c>
      <c r="QL32" s="17">
        <v>1</v>
      </c>
      <c r="QM32" s="17">
        <v>0</v>
      </c>
      <c r="QN32" s="17">
        <v>1</v>
      </c>
      <c r="QO32" s="17">
        <v>1</v>
      </c>
      <c r="QP32" s="17">
        <v>1</v>
      </c>
      <c r="QQ32" s="17">
        <v>1</v>
      </c>
      <c r="QR32" s="17">
        <v>1</v>
      </c>
      <c r="QS32" s="17">
        <v>1</v>
      </c>
      <c r="QT32" s="17">
        <v>1</v>
      </c>
      <c r="QU32" s="17">
        <v>1</v>
      </c>
      <c r="QV32" s="17">
        <v>0</v>
      </c>
      <c r="QW32" s="17">
        <v>1</v>
      </c>
      <c r="QX32" s="17">
        <v>0</v>
      </c>
      <c r="QY32" s="17">
        <v>0</v>
      </c>
      <c r="QZ32" s="17">
        <v>1</v>
      </c>
      <c r="RA32" s="17">
        <v>1</v>
      </c>
      <c r="RB32" s="17">
        <v>0</v>
      </c>
      <c r="RC32" s="17">
        <v>1</v>
      </c>
      <c r="RD32" s="17">
        <v>0</v>
      </c>
      <c r="RE32" s="17">
        <v>1</v>
      </c>
      <c r="RF32" s="17">
        <v>0</v>
      </c>
      <c r="RG32" s="17">
        <v>0</v>
      </c>
      <c r="RH32" s="17">
        <v>1</v>
      </c>
      <c r="RI32" s="17">
        <v>1</v>
      </c>
      <c r="RJ32" s="17">
        <v>1</v>
      </c>
      <c r="RK32" s="17">
        <v>0</v>
      </c>
      <c r="RL32" s="17">
        <v>1</v>
      </c>
      <c r="RM32" s="17">
        <v>0</v>
      </c>
      <c r="RN32" s="17">
        <v>1</v>
      </c>
      <c r="RO32" s="17">
        <v>1</v>
      </c>
      <c r="RP32" s="17">
        <v>0</v>
      </c>
      <c r="RQ32" s="17">
        <v>0</v>
      </c>
      <c r="RR32" s="17">
        <v>0</v>
      </c>
      <c r="RS32" s="17"/>
      <c r="RT32" s="17">
        <v>1</v>
      </c>
      <c r="RU32" s="17">
        <v>1</v>
      </c>
      <c r="RV32" s="17">
        <v>1</v>
      </c>
      <c r="RW32" s="17">
        <v>1</v>
      </c>
      <c r="RX32" s="17">
        <v>1</v>
      </c>
      <c r="RY32" s="17">
        <v>0</v>
      </c>
      <c r="RZ32" s="17">
        <v>0</v>
      </c>
      <c r="SA32" s="17">
        <v>0</v>
      </c>
      <c r="SB32" s="17">
        <v>1</v>
      </c>
      <c r="SC32" s="17">
        <v>0</v>
      </c>
      <c r="SD32" s="17">
        <v>1</v>
      </c>
      <c r="SE32" s="17">
        <v>1</v>
      </c>
      <c r="SF32" s="17">
        <v>1</v>
      </c>
      <c r="SG32" s="17">
        <v>1</v>
      </c>
      <c r="SH32" s="17"/>
      <c r="SI32" s="17">
        <v>10032</v>
      </c>
      <c r="SJ32" s="19">
        <f t="shared" si="3"/>
        <v>92</v>
      </c>
      <c r="SK32" s="19">
        <f t="shared" si="0"/>
        <v>143</v>
      </c>
      <c r="SL32" s="19">
        <f t="shared" si="1"/>
        <v>51</v>
      </c>
      <c r="SM32" s="9">
        <v>10032</v>
      </c>
      <c r="SN32" s="9" t="s">
        <v>509</v>
      </c>
      <c r="SO32" s="10">
        <v>1</v>
      </c>
      <c r="SP32" s="9">
        <v>2</v>
      </c>
      <c r="SQ32" s="11" t="s">
        <v>517</v>
      </c>
      <c r="SR32" s="9">
        <v>18</v>
      </c>
      <c r="SS32" s="28">
        <v>55.5</v>
      </c>
      <c r="ST32" s="28">
        <v>16</v>
      </c>
      <c r="SU32" s="28">
        <v>144</v>
      </c>
      <c r="SV32" s="28">
        <v>27</v>
      </c>
      <c r="SW32" s="28">
        <v>48</v>
      </c>
      <c r="SX32" s="28">
        <v>55</v>
      </c>
      <c r="SY32" s="29">
        <v>41</v>
      </c>
      <c r="SZ32" s="30">
        <v>35</v>
      </c>
      <c r="TA32" s="31">
        <v>18</v>
      </c>
      <c r="TB32" s="31">
        <v>23</v>
      </c>
    </row>
    <row r="33" spans="1:522" ht="15.75" customHeight="1" x14ac:dyDescent="0.2">
      <c r="A33" s="17">
        <v>10033</v>
      </c>
      <c r="B33" s="17" t="s">
        <v>501</v>
      </c>
      <c r="C33" s="17" t="s">
        <v>502</v>
      </c>
      <c r="D33" s="17" t="s">
        <v>512</v>
      </c>
      <c r="E33" s="17" t="s">
        <v>504</v>
      </c>
      <c r="F33" s="18">
        <v>38010</v>
      </c>
      <c r="G33" s="18">
        <v>38509</v>
      </c>
      <c r="H33" s="14">
        <f t="shared" si="2"/>
        <v>16</v>
      </c>
      <c r="I33" s="17" t="s">
        <v>505</v>
      </c>
      <c r="J33" s="17">
        <v>1</v>
      </c>
      <c r="K33" s="17">
        <v>1</v>
      </c>
      <c r="L33" s="17">
        <v>1</v>
      </c>
      <c r="M33" s="17">
        <v>1</v>
      </c>
      <c r="N33" s="17"/>
      <c r="O33" s="17"/>
      <c r="P33" s="17"/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/>
      <c r="Y33" s="17">
        <v>1</v>
      </c>
      <c r="Z33" s="17"/>
      <c r="AA33" s="17"/>
      <c r="AB33" s="17">
        <v>1</v>
      </c>
      <c r="AC33" s="17">
        <v>1</v>
      </c>
      <c r="AD33" s="17"/>
      <c r="AE33" s="17">
        <v>1</v>
      </c>
      <c r="AF33" s="17">
        <v>1</v>
      </c>
      <c r="AG33" s="17"/>
      <c r="AH33" s="17">
        <v>1</v>
      </c>
      <c r="AI33" s="17">
        <v>1</v>
      </c>
      <c r="AJ33" s="17">
        <v>1</v>
      </c>
      <c r="AK33" s="17">
        <v>1</v>
      </c>
      <c r="AL33" s="17">
        <v>1</v>
      </c>
      <c r="AM33" s="17"/>
      <c r="AN33" s="17"/>
      <c r="AO33" s="17" t="s">
        <v>508</v>
      </c>
      <c r="AP33" s="17" t="s">
        <v>507</v>
      </c>
      <c r="AQ33" s="17"/>
      <c r="AR33" s="17">
        <v>2</v>
      </c>
      <c r="AS33" s="17"/>
      <c r="AT33" s="17">
        <v>2</v>
      </c>
      <c r="AU33" s="17"/>
      <c r="AV33" s="17"/>
      <c r="AW33" s="17"/>
      <c r="AX33" s="17"/>
      <c r="AY33" s="17"/>
      <c r="AZ33" s="17"/>
      <c r="BA33" s="17"/>
      <c r="BB33" s="17">
        <v>1</v>
      </c>
      <c r="BC33" s="17"/>
      <c r="BD33" s="17"/>
      <c r="BE33" s="17"/>
      <c r="BF33" s="17"/>
      <c r="BG33" s="17">
        <v>1</v>
      </c>
      <c r="BH33" s="17"/>
      <c r="BI33" s="17"/>
      <c r="BJ33" s="17">
        <v>2</v>
      </c>
      <c r="BK33" s="17"/>
      <c r="BL33" s="17"/>
      <c r="BM33" s="17"/>
      <c r="BN33" s="17">
        <v>2</v>
      </c>
      <c r="BO33" s="17"/>
      <c r="BP33" s="17"/>
      <c r="BQ33" s="17"/>
      <c r="BR33" s="17">
        <v>2</v>
      </c>
      <c r="BS33" s="17"/>
      <c r="BT33" s="17"/>
      <c r="BU33" s="17"/>
      <c r="BV33" s="17"/>
      <c r="BW33" s="17">
        <v>1</v>
      </c>
      <c r="BX33" s="17"/>
      <c r="BY33" s="17"/>
      <c r="BZ33" s="17">
        <v>1</v>
      </c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>
        <v>1</v>
      </c>
      <c r="CN33" s="17">
        <v>1</v>
      </c>
      <c r="CO33" s="17"/>
      <c r="CP33" s="17">
        <v>1</v>
      </c>
      <c r="CQ33" s="17"/>
      <c r="CR33" s="17"/>
      <c r="CS33" s="17">
        <v>1</v>
      </c>
      <c r="CT33" s="17">
        <v>2</v>
      </c>
      <c r="CU33" s="17">
        <v>1</v>
      </c>
      <c r="CV33" s="17">
        <v>2</v>
      </c>
      <c r="CW33" s="17">
        <v>1</v>
      </c>
      <c r="CX33" s="17"/>
      <c r="CY33" s="17">
        <v>2</v>
      </c>
      <c r="CZ33" s="17"/>
      <c r="DA33" s="17"/>
      <c r="DB33" s="17"/>
      <c r="DC33" s="17"/>
      <c r="DD33" s="17">
        <v>2</v>
      </c>
      <c r="DE33" s="17">
        <v>2</v>
      </c>
      <c r="DF33" s="17">
        <v>1</v>
      </c>
      <c r="DG33" s="17"/>
      <c r="DH33" s="17"/>
      <c r="DI33" s="17"/>
      <c r="DJ33" s="17"/>
      <c r="DK33" s="17">
        <v>1</v>
      </c>
      <c r="DL33" s="17"/>
      <c r="DM33" s="17">
        <v>1</v>
      </c>
      <c r="DN33" s="17"/>
      <c r="DO33" s="17"/>
      <c r="DP33" s="17">
        <v>1</v>
      </c>
      <c r="DQ33" s="17"/>
      <c r="DR33" s="17"/>
      <c r="DS33" s="17"/>
      <c r="DT33" s="17"/>
      <c r="DU33" s="17">
        <v>1</v>
      </c>
      <c r="DV33" s="17"/>
      <c r="DW33" s="17">
        <v>1</v>
      </c>
      <c r="DX33" s="17"/>
      <c r="DY33" s="17">
        <v>2</v>
      </c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>
        <v>1</v>
      </c>
      <c r="EN33" s="17"/>
      <c r="EO33" s="17"/>
      <c r="EP33" s="17"/>
      <c r="EQ33" s="17"/>
      <c r="ER33" s="17"/>
      <c r="ES33" s="17">
        <v>1</v>
      </c>
      <c r="ET33" s="17">
        <v>1</v>
      </c>
      <c r="EU33" s="17">
        <v>1</v>
      </c>
      <c r="EV33" s="17">
        <v>1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>
        <v>1</v>
      </c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>
        <v>1</v>
      </c>
      <c r="GZ33" s="17">
        <v>1</v>
      </c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>
        <v>1</v>
      </c>
      <c r="IL33" s="17"/>
      <c r="IM33" s="17"/>
      <c r="IN33" s="17">
        <v>1</v>
      </c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>
        <v>1</v>
      </c>
      <c r="JJ33" s="17"/>
      <c r="JK33" s="17">
        <v>2</v>
      </c>
      <c r="JL33" s="17"/>
      <c r="JM33" s="17">
        <v>1</v>
      </c>
      <c r="JN33" s="17">
        <v>1</v>
      </c>
      <c r="JO33" s="17"/>
      <c r="JP33" s="17"/>
      <c r="JQ33" s="17">
        <v>2</v>
      </c>
      <c r="JR33" s="17">
        <v>1</v>
      </c>
      <c r="JS33" s="17"/>
      <c r="JT33" s="17"/>
      <c r="JU33" s="17"/>
      <c r="JV33" s="17"/>
      <c r="JW33" s="17"/>
      <c r="JX33" s="17">
        <v>1</v>
      </c>
      <c r="JY33" s="17"/>
      <c r="JZ33" s="17">
        <v>2</v>
      </c>
      <c r="KA33" s="17"/>
      <c r="KB33" s="17">
        <v>1</v>
      </c>
      <c r="KC33" s="17">
        <v>1</v>
      </c>
      <c r="KD33" s="17">
        <v>1</v>
      </c>
      <c r="KE33" s="17"/>
      <c r="KF33" s="17"/>
      <c r="KG33" s="17">
        <v>1</v>
      </c>
      <c r="KH33" s="17">
        <v>2</v>
      </c>
      <c r="KI33" s="17"/>
      <c r="KJ33" s="17">
        <v>2</v>
      </c>
      <c r="KK33" s="17"/>
      <c r="KL33" s="17"/>
      <c r="KM33" s="17"/>
      <c r="KN33" s="17"/>
      <c r="KO33" s="17"/>
      <c r="KP33" s="17">
        <v>1</v>
      </c>
      <c r="KQ33" s="17"/>
      <c r="KR33" s="17"/>
      <c r="KS33" s="17"/>
      <c r="KT33" s="17"/>
      <c r="KU33" s="17"/>
      <c r="KV33" s="17"/>
      <c r="KW33" s="17"/>
      <c r="KX33" s="17"/>
      <c r="KY33" s="17">
        <v>1</v>
      </c>
      <c r="KZ33" s="17"/>
      <c r="LA33" s="17"/>
      <c r="LB33" s="17"/>
      <c r="LC33" s="17">
        <v>1</v>
      </c>
      <c r="LD33" s="17"/>
      <c r="LE33" s="17"/>
      <c r="LF33" s="17">
        <v>1</v>
      </c>
      <c r="LG33" s="17"/>
      <c r="LH33" s="17"/>
      <c r="LI33" s="17"/>
      <c r="LJ33" s="17"/>
      <c r="LK33" s="17"/>
      <c r="LL33" s="17"/>
      <c r="LM33" s="17"/>
      <c r="LN33" s="17"/>
      <c r="LO33" s="17">
        <v>1</v>
      </c>
      <c r="LP33" s="17"/>
      <c r="LQ33" s="17"/>
      <c r="LR33" s="17"/>
      <c r="LS33" s="17"/>
      <c r="LT33" s="17">
        <v>1</v>
      </c>
      <c r="LU33" s="17"/>
      <c r="LV33" s="17"/>
      <c r="LW33" s="17">
        <v>1</v>
      </c>
      <c r="LX33" s="17">
        <v>1</v>
      </c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>
        <v>1</v>
      </c>
      <c r="MM33" s="17"/>
      <c r="MN33" s="17"/>
      <c r="MO33" s="17"/>
      <c r="MP33" s="17">
        <v>1</v>
      </c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>
        <v>1</v>
      </c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>
        <v>1</v>
      </c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>
        <v>1</v>
      </c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 t="s">
        <v>506</v>
      </c>
      <c r="PX33" s="17" t="s">
        <v>506</v>
      </c>
      <c r="PY33" s="17" t="s">
        <v>506</v>
      </c>
      <c r="PZ33" s="17" t="s">
        <v>506</v>
      </c>
      <c r="QA33" s="17" t="s">
        <v>506</v>
      </c>
      <c r="QB33" s="17" t="s">
        <v>507</v>
      </c>
      <c r="QC33" s="17" t="s">
        <v>507</v>
      </c>
      <c r="QD33" s="17" t="s">
        <v>508</v>
      </c>
      <c r="QE33" s="17" t="s">
        <v>506</v>
      </c>
      <c r="QF33" s="17" t="s">
        <v>508</v>
      </c>
      <c r="QG33" s="17" t="s">
        <v>507</v>
      </c>
      <c r="QH33" s="17" t="s">
        <v>508</v>
      </c>
      <c r="QI33" s="17">
        <v>1</v>
      </c>
      <c r="QJ33" s="17">
        <v>0</v>
      </c>
      <c r="QK33" s="17"/>
      <c r="QL33" s="17">
        <v>1</v>
      </c>
      <c r="QM33" s="17">
        <v>0</v>
      </c>
      <c r="QN33" s="17">
        <v>1</v>
      </c>
      <c r="QO33" s="17">
        <v>1</v>
      </c>
      <c r="QP33" s="17">
        <v>1</v>
      </c>
      <c r="QQ33" s="17">
        <v>1</v>
      </c>
      <c r="QR33" s="17">
        <v>1</v>
      </c>
      <c r="QS33" s="17">
        <v>1</v>
      </c>
      <c r="QT33" s="17">
        <v>1</v>
      </c>
      <c r="QU33" s="17">
        <v>1</v>
      </c>
      <c r="QV33" s="17">
        <v>1</v>
      </c>
      <c r="QW33" s="17">
        <v>0</v>
      </c>
      <c r="QX33" s="17">
        <v>1</v>
      </c>
      <c r="QY33" s="17">
        <v>1</v>
      </c>
      <c r="QZ33" s="17">
        <v>1</v>
      </c>
      <c r="RA33" s="17">
        <v>0</v>
      </c>
      <c r="RB33" s="17">
        <v>1</v>
      </c>
      <c r="RC33" s="17">
        <v>1</v>
      </c>
      <c r="RD33" s="17">
        <v>0</v>
      </c>
      <c r="RE33" s="17">
        <v>0</v>
      </c>
      <c r="RF33" s="17">
        <v>0</v>
      </c>
      <c r="RG33" s="17">
        <v>0</v>
      </c>
      <c r="RH33" s="17">
        <v>0</v>
      </c>
      <c r="RI33" s="17">
        <v>0</v>
      </c>
      <c r="RJ33" s="17">
        <v>0</v>
      </c>
      <c r="RK33" s="17">
        <v>0</v>
      </c>
      <c r="RL33" s="17">
        <v>0</v>
      </c>
      <c r="RM33" s="17">
        <v>0</v>
      </c>
      <c r="RN33" s="17">
        <v>1</v>
      </c>
      <c r="RO33" s="17">
        <v>1</v>
      </c>
      <c r="RP33" s="17">
        <v>0</v>
      </c>
      <c r="RQ33" s="17">
        <v>0</v>
      </c>
      <c r="RR33" s="17">
        <v>0</v>
      </c>
      <c r="RS33" s="17">
        <v>1</v>
      </c>
      <c r="RT33" s="17">
        <v>1</v>
      </c>
      <c r="RU33" s="17">
        <v>0</v>
      </c>
      <c r="RV33" s="17">
        <v>0</v>
      </c>
      <c r="RW33" s="17">
        <v>1</v>
      </c>
      <c r="RX33" s="17">
        <v>1</v>
      </c>
      <c r="RY33" s="17">
        <v>0</v>
      </c>
      <c r="RZ33" s="17">
        <v>0</v>
      </c>
      <c r="SA33" s="17">
        <v>1</v>
      </c>
      <c r="SB33" s="17">
        <v>1</v>
      </c>
      <c r="SC33" s="17">
        <v>0</v>
      </c>
      <c r="SD33" s="17">
        <v>0</v>
      </c>
      <c r="SE33" s="17">
        <v>1</v>
      </c>
      <c r="SF33" s="17">
        <v>0</v>
      </c>
      <c r="SG33" s="17">
        <v>1</v>
      </c>
      <c r="SH33" s="17">
        <v>1</v>
      </c>
      <c r="SI33" s="17">
        <v>10033</v>
      </c>
      <c r="SJ33" s="19">
        <f t="shared" si="3"/>
        <v>48</v>
      </c>
      <c r="SK33" s="19">
        <f t="shared" si="0"/>
        <v>64</v>
      </c>
      <c r="SL33" s="19">
        <f t="shared" si="1"/>
        <v>16</v>
      </c>
      <c r="SM33" s="9">
        <v>10033</v>
      </c>
      <c r="SN33" s="9" t="s">
        <v>504</v>
      </c>
      <c r="SO33" s="10">
        <v>2</v>
      </c>
      <c r="SP33" s="9">
        <v>2</v>
      </c>
      <c r="SQ33" s="11" t="s">
        <v>517</v>
      </c>
      <c r="SR33" s="9">
        <v>16</v>
      </c>
      <c r="SS33" s="28">
        <v>60.5</v>
      </c>
      <c r="ST33" s="28">
        <v>16</v>
      </c>
      <c r="SU33" s="28">
        <v>65</v>
      </c>
      <c r="SV33" s="28">
        <v>10</v>
      </c>
      <c r="SW33" s="28">
        <v>16</v>
      </c>
      <c r="SX33" s="28">
        <v>30</v>
      </c>
      <c r="SY33" s="29">
        <v>35</v>
      </c>
      <c r="SZ33" s="30">
        <v>28</v>
      </c>
      <c r="TA33" s="31">
        <v>18</v>
      </c>
      <c r="TB33" s="31">
        <v>30</v>
      </c>
    </row>
    <row r="34" spans="1:522" ht="15.75" customHeight="1" x14ac:dyDescent="0.2">
      <c r="A34" s="17">
        <v>10034</v>
      </c>
      <c r="B34" s="17" t="s">
        <v>501</v>
      </c>
      <c r="C34" s="17" t="s">
        <v>502</v>
      </c>
      <c r="D34" s="17" t="s">
        <v>512</v>
      </c>
      <c r="E34" s="17" t="s">
        <v>509</v>
      </c>
      <c r="F34" s="18">
        <v>38013</v>
      </c>
      <c r="G34" s="18">
        <v>38539</v>
      </c>
      <c r="H34" s="14">
        <f t="shared" si="2"/>
        <v>17</v>
      </c>
      <c r="I34" s="17" t="s">
        <v>505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/>
      <c r="P34" s="17"/>
      <c r="Q34" s="17"/>
      <c r="R34" s="17">
        <v>1</v>
      </c>
      <c r="S34" s="17"/>
      <c r="T34" s="17">
        <v>1</v>
      </c>
      <c r="U34" s="17">
        <v>1</v>
      </c>
      <c r="V34" s="17">
        <v>1</v>
      </c>
      <c r="W34" s="17"/>
      <c r="X34" s="17">
        <v>1</v>
      </c>
      <c r="Y34" s="17">
        <v>1</v>
      </c>
      <c r="Z34" s="17"/>
      <c r="AA34" s="17">
        <v>1</v>
      </c>
      <c r="AB34" s="17">
        <v>1</v>
      </c>
      <c r="AC34" s="17"/>
      <c r="AD34" s="17"/>
      <c r="AE34" s="17">
        <v>1</v>
      </c>
      <c r="AF34" s="17"/>
      <c r="AG34" s="17"/>
      <c r="AH34" s="17">
        <v>1</v>
      </c>
      <c r="AI34" s="17"/>
      <c r="AJ34" s="17">
        <v>1</v>
      </c>
      <c r="AK34" s="17">
        <v>1</v>
      </c>
      <c r="AL34" s="17">
        <v>1</v>
      </c>
      <c r="AM34" s="17"/>
      <c r="AN34" s="17">
        <v>1</v>
      </c>
      <c r="AO34" s="17"/>
      <c r="AP34" s="17" t="s">
        <v>507</v>
      </c>
      <c r="AQ34" s="17"/>
      <c r="AR34" s="17"/>
      <c r="AS34" s="17"/>
      <c r="AT34" s="17"/>
      <c r="AU34" s="17">
        <v>1</v>
      </c>
      <c r="AV34" s="17"/>
      <c r="AW34" s="17"/>
      <c r="AX34" s="17">
        <v>2</v>
      </c>
      <c r="AY34" s="17">
        <v>2</v>
      </c>
      <c r="AZ34" s="17"/>
      <c r="BA34" s="17"/>
      <c r="BB34" s="17">
        <v>1</v>
      </c>
      <c r="BC34" s="17"/>
      <c r="BD34" s="17">
        <v>2</v>
      </c>
      <c r="BE34" s="17">
        <v>2</v>
      </c>
      <c r="BF34" s="17">
        <v>2</v>
      </c>
      <c r="BG34" s="17"/>
      <c r="BH34" s="17"/>
      <c r="BI34" s="17"/>
      <c r="BJ34" s="17">
        <v>1</v>
      </c>
      <c r="BK34" s="17"/>
      <c r="BL34" s="17"/>
      <c r="BM34" s="17"/>
      <c r="BN34" s="17">
        <v>2</v>
      </c>
      <c r="BO34" s="17"/>
      <c r="BP34" s="17">
        <v>2</v>
      </c>
      <c r="BQ34" s="17"/>
      <c r="BR34" s="17"/>
      <c r="BS34" s="17"/>
      <c r="BT34" s="17"/>
      <c r="BU34" s="17"/>
      <c r="BV34" s="17"/>
      <c r="BW34" s="17">
        <v>2</v>
      </c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>
        <v>2</v>
      </c>
      <c r="CI34" s="17"/>
      <c r="CJ34" s="17"/>
      <c r="CK34" s="17"/>
      <c r="CL34" s="17"/>
      <c r="CM34" s="17">
        <v>2</v>
      </c>
      <c r="CN34" s="17"/>
      <c r="CO34" s="17"/>
      <c r="CP34" s="17">
        <v>1</v>
      </c>
      <c r="CQ34" s="17"/>
      <c r="CR34" s="17"/>
      <c r="CS34" s="17">
        <v>1</v>
      </c>
      <c r="CT34" s="17"/>
      <c r="CU34" s="17"/>
      <c r="CV34" s="17">
        <v>2</v>
      </c>
      <c r="CW34" s="17">
        <v>2</v>
      </c>
      <c r="CX34" s="17"/>
      <c r="CY34" s="17"/>
      <c r="CZ34" s="17">
        <v>2</v>
      </c>
      <c r="DA34" s="17">
        <v>1</v>
      </c>
      <c r="DB34" s="17"/>
      <c r="DC34" s="17"/>
      <c r="DD34" s="17">
        <v>2</v>
      </c>
      <c r="DE34" s="17">
        <v>1</v>
      </c>
      <c r="DF34" s="17">
        <v>1</v>
      </c>
      <c r="DG34" s="17">
        <v>1</v>
      </c>
      <c r="DH34" s="17"/>
      <c r="DI34" s="17"/>
      <c r="DJ34" s="17"/>
      <c r="DK34" s="17">
        <v>1</v>
      </c>
      <c r="DL34" s="17">
        <v>1</v>
      </c>
      <c r="DM34" s="17">
        <v>2</v>
      </c>
      <c r="DN34" s="17"/>
      <c r="DO34" s="17"/>
      <c r="DP34" s="17">
        <v>2</v>
      </c>
      <c r="DQ34" s="17">
        <v>2</v>
      </c>
      <c r="DR34" s="17"/>
      <c r="DS34" s="17"/>
      <c r="DT34" s="17"/>
      <c r="DU34" s="17"/>
      <c r="DV34" s="17"/>
      <c r="DW34" s="17"/>
      <c r="DX34" s="17"/>
      <c r="DY34" s="17">
        <v>1</v>
      </c>
      <c r="DZ34" s="17"/>
      <c r="EA34" s="17"/>
      <c r="EB34" s="17"/>
      <c r="EC34" s="17"/>
      <c r="ED34" s="17"/>
      <c r="EE34" s="17"/>
      <c r="EF34" s="17">
        <v>2</v>
      </c>
      <c r="EG34" s="17">
        <v>1</v>
      </c>
      <c r="EH34" s="17"/>
      <c r="EI34" s="17"/>
      <c r="EJ34" s="17"/>
      <c r="EK34" s="17"/>
      <c r="EL34" s="17"/>
      <c r="EM34" s="17">
        <v>1</v>
      </c>
      <c r="EN34" s="17"/>
      <c r="EO34" s="17"/>
      <c r="EP34" s="17"/>
      <c r="EQ34" s="17"/>
      <c r="ER34" s="17"/>
      <c r="ES34" s="17">
        <v>1</v>
      </c>
      <c r="ET34" s="17">
        <v>1</v>
      </c>
      <c r="EU34" s="17">
        <v>1</v>
      </c>
      <c r="EV34" s="17">
        <v>1</v>
      </c>
      <c r="EW34" s="17"/>
      <c r="EX34" s="17">
        <v>2</v>
      </c>
      <c r="EY34" s="17"/>
      <c r="EZ34" s="17"/>
      <c r="FA34" s="17"/>
      <c r="FB34" s="17"/>
      <c r="FC34" s="17"/>
      <c r="FD34" s="17">
        <v>1</v>
      </c>
      <c r="FE34" s="17">
        <v>2</v>
      </c>
      <c r="FF34" s="17"/>
      <c r="FG34" s="17">
        <v>1</v>
      </c>
      <c r="FH34" s="17"/>
      <c r="FI34" s="17">
        <v>1</v>
      </c>
      <c r="FJ34" s="17">
        <v>1</v>
      </c>
      <c r="FK34" s="17">
        <v>1</v>
      </c>
      <c r="FL34" s="17">
        <v>1</v>
      </c>
      <c r="FM34" s="17"/>
      <c r="FN34" s="17"/>
      <c r="FO34" s="17">
        <v>2</v>
      </c>
      <c r="FP34" s="17"/>
      <c r="FQ34" s="17">
        <v>1</v>
      </c>
      <c r="FR34" s="17">
        <v>2</v>
      </c>
      <c r="FS34" s="17"/>
      <c r="FT34" s="17"/>
      <c r="FU34" s="17">
        <v>2</v>
      </c>
      <c r="FV34" s="17"/>
      <c r="FW34" s="17">
        <v>2</v>
      </c>
      <c r="FX34" s="17"/>
      <c r="FY34" s="17"/>
      <c r="FZ34" s="17"/>
      <c r="GA34" s="17"/>
      <c r="GB34" s="17"/>
      <c r="GC34" s="17"/>
      <c r="GD34" s="17"/>
      <c r="GE34" s="17"/>
      <c r="GF34" s="17"/>
      <c r="GG34" s="17">
        <v>1</v>
      </c>
      <c r="GH34" s="17"/>
      <c r="GI34" s="17">
        <v>1</v>
      </c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>
        <v>1</v>
      </c>
      <c r="GZ34" s="17"/>
      <c r="HA34" s="17"/>
      <c r="HB34" s="17"/>
      <c r="HC34" s="17"/>
      <c r="HD34" s="17"/>
      <c r="HE34" s="17"/>
      <c r="HF34" s="17">
        <v>1</v>
      </c>
      <c r="HG34" s="17"/>
      <c r="HH34" s="17"/>
      <c r="HI34" s="17">
        <v>1</v>
      </c>
      <c r="HJ34" s="17"/>
      <c r="HK34" s="17"/>
      <c r="HL34" s="17">
        <v>1</v>
      </c>
      <c r="HM34" s="17"/>
      <c r="HN34" s="17"/>
      <c r="HO34" s="17">
        <v>1</v>
      </c>
      <c r="HP34" s="17">
        <v>1</v>
      </c>
      <c r="HQ34" s="17"/>
      <c r="HR34" s="17"/>
      <c r="HS34" s="17"/>
      <c r="HT34" s="17">
        <v>1</v>
      </c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>
        <v>1</v>
      </c>
      <c r="IG34" s="17"/>
      <c r="IH34" s="17">
        <v>1</v>
      </c>
      <c r="II34" s="17"/>
      <c r="IJ34" s="17"/>
      <c r="IK34" s="17">
        <v>1</v>
      </c>
      <c r="IL34" s="17">
        <v>1</v>
      </c>
      <c r="IM34" s="17"/>
      <c r="IN34" s="17"/>
      <c r="IO34" s="17"/>
      <c r="IP34" s="17"/>
      <c r="IQ34" s="17"/>
      <c r="IR34" s="17"/>
      <c r="IS34" s="17"/>
      <c r="IT34" s="17">
        <v>1</v>
      </c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>
        <v>2</v>
      </c>
      <c r="JF34" s="17"/>
      <c r="JG34" s="17"/>
      <c r="JH34" s="17"/>
      <c r="JI34" s="17"/>
      <c r="JJ34" s="17"/>
      <c r="JK34" s="17">
        <v>2</v>
      </c>
      <c r="JL34" s="17"/>
      <c r="JM34" s="17"/>
      <c r="JN34" s="17"/>
      <c r="JO34" s="17"/>
      <c r="JP34" s="17"/>
      <c r="JQ34" s="17">
        <v>2</v>
      </c>
      <c r="JR34" s="17">
        <v>1</v>
      </c>
      <c r="JS34" s="17"/>
      <c r="JT34" s="17"/>
      <c r="JU34" s="17">
        <v>2</v>
      </c>
      <c r="JV34" s="17">
        <v>2</v>
      </c>
      <c r="JW34" s="17">
        <v>2</v>
      </c>
      <c r="JX34" s="17">
        <v>1</v>
      </c>
      <c r="JY34" s="17"/>
      <c r="JZ34" s="17">
        <v>2</v>
      </c>
      <c r="KA34" s="17"/>
      <c r="KB34" s="17"/>
      <c r="KC34" s="17">
        <v>2</v>
      </c>
      <c r="KD34" s="17">
        <v>1</v>
      </c>
      <c r="KE34" s="17"/>
      <c r="KF34" s="17">
        <v>1</v>
      </c>
      <c r="KG34" s="17">
        <v>1</v>
      </c>
      <c r="KH34" s="17">
        <v>1</v>
      </c>
      <c r="KI34" s="17"/>
      <c r="KJ34" s="17">
        <v>1</v>
      </c>
      <c r="KK34" s="17"/>
      <c r="KL34" s="17"/>
      <c r="KM34" s="17"/>
      <c r="KN34" s="17">
        <v>1</v>
      </c>
      <c r="KO34" s="17">
        <v>1</v>
      </c>
      <c r="KP34" s="17"/>
      <c r="KQ34" s="17">
        <v>1</v>
      </c>
      <c r="KR34" s="17"/>
      <c r="KS34" s="17"/>
      <c r="KT34" s="17"/>
      <c r="KU34" s="17"/>
      <c r="KV34" s="17"/>
      <c r="KW34" s="17"/>
      <c r="KX34" s="17"/>
      <c r="KY34" s="17">
        <v>1</v>
      </c>
      <c r="KZ34" s="17"/>
      <c r="LA34" s="17"/>
      <c r="LB34" s="17"/>
      <c r="LC34" s="17"/>
      <c r="LD34" s="17"/>
      <c r="LE34" s="17"/>
      <c r="LF34" s="17"/>
      <c r="LG34" s="17"/>
      <c r="LH34" s="17">
        <v>1</v>
      </c>
      <c r="LI34" s="17">
        <v>1</v>
      </c>
      <c r="LJ34" s="17"/>
      <c r="LK34" s="17"/>
      <c r="LL34" s="17">
        <v>1</v>
      </c>
      <c r="LM34" s="17"/>
      <c r="LN34" s="17"/>
      <c r="LO34" s="17"/>
      <c r="LP34" s="17">
        <v>1</v>
      </c>
      <c r="LQ34" s="17"/>
      <c r="LR34" s="17"/>
      <c r="LS34" s="17">
        <v>1</v>
      </c>
      <c r="LT34" s="17"/>
      <c r="LU34" s="17"/>
      <c r="LV34" s="17"/>
      <c r="LW34" s="17"/>
      <c r="LX34" s="17">
        <v>1</v>
      </c>
      <c r="LY34" s="17">
        <v>1</v>
      </c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>
        <v>1</v>
      </c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>
        <v>2</v>
      </c>
      <c r="NC34" s="17"/>
      <c r="ND34" s="17"/>
      <c r="NE34" s="17"/>
      <c r="NF34" s="17"/>
      <c r="NG34" s="17"/>
      <c r="NH34" s="17"/>
      <c r="NI34" s="17"/>
      <c r="NJ34" s="17">
        <v>2</v>
      </c>
      <c r="NK34" s="17"/>
      <c r="NL34" s="17"/>
      <c r="NM34" s="17"/>
      <c r="NN34" s="17"/>
      <c r="NO34" s="17"/>
      <c r="NP34" s="17"/>
      <c r="NQ34" s="17"/>
      <c r="NR34" s="17">
        <v>1</v>
      </c>
      <c r="NS34" s="17"/>
      <c r="NT34" s="17"/>
      <c r="NU34" s="17"/>
      <c r="NV34" s="17">
        <v>2</v>
      </c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>
        <v>1</v>
      </c>
      <c r="OI34" s="17"/>
      <c r="OJ34" s="17"/>
      <c r="OK34" s="17">
        <v>1</v>
      </c>
      <c r="OL34" s="17">
        <v>1</v>
      </c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>
        <v>1</v>
      </c>
      <c r="OZ34" s="17"/>
      <c r="PA34" s="17">
        <v>1</v>
      </c>
      <c r="PB34" s="17"/>
      <c r="PC34" s="17"/>
      <c r="PD34" s="17"/>
      <c r="PE34" s="17"/>
      <c r="PF34" s="17">
        <v>2</v>
      </c>
      <c r="PG34" s="17"/>
      <c r="PH34" s="17"/>
      <c r="PI34" s="17">
        <v>2</v>
      </c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 t="s">
        <v>507</v>
      </c>
      <c r="PZ34" s="17"/>
      <c r="QA34" s="17" t="s">
        <v>506</v>
      </c>
      <c r="QB34" s="17"/>
      <c r="QC34" s="17" t="s">
        <v>508</v>
      </c>
      <c r="QD34" s="17" t="s">
        <v>508</v>
      </c>
      <c r="QE34" s="17"/>
      <c r="QF34" s="17" t="s">
        <v>508</v>
      </c>
      <c r="QG34" s="17" t="s">
        <v>508</v>
      </c>
      <c r="QH34" s="17" t="s">
        <v>508</v>
      </c>
      <c r="QI34" s="17">
        <v>1</v>
      </c>
      <c r="QJ34" s="17">
        <v>0</v>
      </c>
      <c r="QK34" s="17">
        <v>0</v>
      </c>
      <c r="QL34" s="17">
        <v>1</v>
      </c>
      <c r="QM34" s="17"/>
      <c r="QN34" s="17">
        <v>1</v>
      </c>
      <c r="QO34" s="17"/>
      <c r="QP34" s="17">
        <v>1</v>
      </c>
      <c r="QQ34" s="17">
        <v>1</v>
      </c>
      <c r="QR34" s="17">
        <v>0</v>
      </c>
      <c r="QS34" s="17">
        <v>0</v>
      </c>
      <c r="QT34" s="17">
        <v>1</v>
      </c>
      <c r="QU34" s="17">
        <v>1</v>
      </c>
      <c r="QV34" s="17">
        <v>1</v>
      </c>
      <c r="QW34" s="17">
        <v>1</v>
      </c>
      <c r="QX34" s="17">
        <v>0</v>
      </c>
      <c r="QY34" s="17">
        <v>0</v>
      </c>
      <c r="QZ34" s="17">
        <v>1</v>
      </c>
      <c r="RA34" s="17">
        <v>0</v>
      </c>
      <c r="RB34" s="17">
        <v>1</v>
      </c>
      <c r="RC34" s="17">
        <v>1</v>
      </c>
      <c r="RD34" s="17">
        <v>0</v>
      </c>
      <c r="RE34" s="17">
        <v>0</v>
      </c>
      <c r="RF34" s="17">
        <v>1</v>
      </c>
      <c r="RG34" s="17">
        <v>1</v>
      </c>
      <c r="RH34" s="17">
        <v>1</v>
      </c>
      <c r="RI34" s="17">
        <v>1</v>
      </c>
      <c r="RJ34" s="17">
        <v>0</v>
      </c>
      <c r="RK34" s="17">
        <v>0</v>
      </c>
      <c r="RL34" s="17">
        <v>1</v>
      </c>
      <c r="RM34" s="17">
        <v>0</v>
      </c>
      <c r="RN34" s="17">
        <v>1</v>
      </c>
      <c r="RO34" s="17">
        <v>1</v>
      </c>
      <c r="RP34" s="17">
        <v>0</v>
      </c>
      <c r="RQ34" s="17">
        <v>1</v>
      </c>
      <c r="RR34" s="17">
        <v>1</v>
      </c>
      <c r="RS34" s="17">
        <v>0</v>
      </c>
      <c r="RT34" s="17">
        <v>0</v>
      </c>
      <c r="RU34" s="17">
        <v>1</v>
      </c>
      <c r="RV34" s="17">
        <v>0</v>
      </c>
      <c r="RW34" s="17">
        <v>1</v>
      </c>
      <c r="RX34" s="17">
        <v>1</v>
      </c>
      <c r="RY34" s="17">
        <v>0</v>
      </c>
      <c r="RZ34" s="17">
        <v>0</v>
      </c>
      <c r="SA34" s="17">
        <v>1</v>
      </c>
      <c r="SB34" s="17">
        <v>1</v>
      </c>
      <c r="SC34" s="17">
        <v>0</v>
      </c>
      <c r="SD34" s="17">
        <v>0</v>
      </c>
      <c r="SE34" s="17">
        <v>1</v>
      </c>
      <c r="SF34" s="17">
        <v>1</v>
      </c>
      <c r="SG34" s="17">
        <v>1</v>
      </c>
      <c r="SH34" s="17">
        <v>0</v>
      </c>
      <c r="SI34" s="17">
        <v>10034</v>
      </c>
      <c r="SJ34" s="19">
        <f t="shared" si="3"/>
        <v>64</v>
      </c>
      <c r="SK34" s="19">
        <f t="shared" ref="SK34:SK65" si="4">SL34+SJ34</f>
        <v>101</v>
      </c>
      <c r="SL34" s="19">
        <f t="shared" ref="SL34:SL65" si="5">COUNTIF(AQ34:PV34, "2")</f>
        <v>37</v>
      </c>
      <c r="SM34" s="9">
        <v>10034</v>
      </c>
      <c r="SN34" s="9" t="s">
        <v>509</v>
      </c>
      <c r="SO34" s="10">
        <v>1</v>
      </c>
      <c r="SP34" s="9">
        <v>3</v>
      </c>
      <c r="SQ34" s="11" t="s">
        <v>517</v>
      </c>
      <c r="SR34" s="9">
        <v>18</v>
      </c>
      <c r="SS34" s="28">
        <v>63</v>
      </c>
      <c r="ST34" s="28">
        <v>17</v>
      </c>
      <c r="SU34" s="28">
        <v>104</v>
      </c>
      <c r="SV34" s="28">
        <v>10</v>
      </c>
      <c r="SW34" s="28">
        <v>40</v>
      </c>
      <c r="SX34" s="28">
        <v>24</v>
      </c>
      <c r="SY34" s="29">
        <v>37</v>
      </c>
      <c r="SZ34" s="30">
        <v>15</v>
      </c>
      <c r="TA34" s="31">
        <v>16</v>
      </c>
      <c r="TB34" s="31">
        <v>14</v>
      </c>
    </row>
    <row r="35" spans="1:522" ht="15.75" customHeight="1" x14ac:dyDescent="0.2">
      <c r="A35" s="17">
        <v>10035</v>
      </c>
      <c r="B35" s="17" t="s">
        <v>501</v>
      </c>
      <c r="C35" s="17" t="s">
        <v>502</v>
      </c>
      <c r="D35" s="17" t="s">
        <v>512</v>
      </c>
      <c r="E35" s="17" t="s">
        <v>504</v>
      </c>
      <c r="F35" s="18">
        <v>38004</v>
      </c>
      <c r="G35" s="18">
        <v>38496</v>
      </c>
      <c r="H35" s="14">
        <f t="shared" si="2"/>
        <v>16</v>
      </c>
      <c r="I35" s="17" t="s">
        <v>505</v>
      </c>
      <c r="J35" s="17">
        <v>1</v>
      </c>
      <c r="K35" s="17">
        <v>1</v>
      </c>
      <c r="L35" s="17">
        <v>1</v>
      </c>
      <c r="M35" s="17">
        <v>1</v>
      </c>
      <c r="N35" s="17"/>
      <c r="O35" s="17">
        <v>1</v>
      </c>
      <c r="P35" s="17"/>
      <c r="Q35" s="17">
        <v>1</v>
      </c>
      <c r="R35" s="17"/>
      <c r="S35" s="17"/>
      <c r="T35" s="17">
        <v>1</v>
      </c>
      <c r="U35" s="17">
        <v>1</v>
      </c>
      <c r="V35" s="17">
        <v>1</v>
      </c>
      <c r="W35" s="17"/>
      <c r="X35" s="17"/>
      <c r="Y35" s="17">
        <v>1</v>
      </c>
      <c r="Z35" s="17">
        <v>1</v>
      </c>
      <c r="AA35" s="17"/>
      <c r="AB35" s="17">
        <v>1</v>
      </c>
      <c r="AC35" s="17"/>
      <c r="AD35" s="17"/>
      <c r="AE35" s="17">
        <v>1</v>
      </c>
      <c r="AF35" s="17">
        <v>1</v>
      </c>
      <c r="AG35" s="17"/>
      <c r="AH35" s="17">
        <v>1</v>
      </c>
      <c r="AI35" s="17"/>
      <c r="AJ35" s="17">
        <v>1</v>
      </c>
      <c r="AK35" s="17"/>
      <c r="AL35" s="17">
        <v>1</v>
      </c>
      <c r="AM35" s="17"/>
      <c r="AN35" s="17"/>
      <c r="AO35" s="17" t="s">
        <v>507</v>
      </c>
      <c r="AP35" s="17" t="s">
        <v>507</v>
      </c>
      <c r="AQ35" s="17"/>
      <c r="AR35" s="17"/>
      <c r="AS35" s="17"/>
      <c r="AT35" s="17"/>
      <c r="AU35" s="17">
        <v>1</v>
      </c>
      <c r="AV35" s="17"/>
      <c r="AW35" s="17"/>
      <c r="AX35" s="17"/>
      <c r="AY35" s="17">
        <v>2</v>
      </c>
      <c r="AZ35" s="17"/>
      <c r="BA35" s="17">
        <v>1</v>
      </c>
      <c r="BB35" s="17">
        <v>1</v>
      </c>
      <c r="BC35" s="17"/>
      <c r="BD35" s="17">
        <v>1</v>
      </c>
      <c r="BE35" s="17"/>
      <c r="BF35" s="17"/>
      <c r="BG35" s="17"/>
      <c r="BH35" s="17">
        <v>1</v>
      </c>
      <c r="BI35" s="17"/>
      <c r="BJ35" s="17">
        <v>1</v>
      </c>
      <c r="BK35" s="17"/>
      <c r="BL35" s="17"/>
      <c r="BM35" s="17"/>
      <c r="BN35" s="17">
        <v>1</v>
      </c>
      <c r="BO35" s="17"/>
      <c r="BP35" s="17"/>
      <c r="BQ35" s="17"/>
      <c r="BR35" s="17">
        <v>1</v>
      </c>
      <c r="BS35" s="17"/>
      <c r="BT35" s="17"/>
      <c r="BU35" s="17"/>
      <c r="BV35" s="17"/>
      <c r="BW35" s="17">
        <v>1</v>
      </c>
      <c r="BX35" s="17"/>
      <c r="BY35" s="17">
        <v>1</v>
      </c>
      <c r="BZ35" s="17">
        <v>1</v>
      </c>
      <c r="CA35" s="17"/>
      <c r="CB35" s="17"/>
      <c r="CC35" s="17"/>
      <c r="CD35" s="17"/>
      <c r="CE35" s="17"/>
      <c r="CF35" s="17">
        <v>1</v>
      </c>
      <c r="CG35" s="17"/>
      <c r="CH35" s="17"/>
      <c r="CI35" s="17"/>
      <c r="CJ35" s="17">
        <v>1</v>
      </c>
      <c r="CK35" s="17"/>
      <c r="CL35" s="17"/>
      <c r="CM35" s="17"/>
      <c r="CN35" s="17"/>
      <c r="CO35" s="17"/>
      <c r="CP35" s="17"/>
      <c r="CQ35" s="17"/>
      <c r="CR35" s="17"/>
      <c r="CS35" s="17">
        <v>1</v>
      </c>
      <c r="CT35" s="17"/>
      <c r="CU35" s="17"/>
      <c r="CV35" s="17">
        <v>1</v>
      </c>
      <c r="CW35" s="17"/>
      <c r="CX35" s="17"/>
      <c r="CY35" s="17">
        <v>1</v>
      </c>
      <c r="CZ35" s="17"/>
      <c r="DA35" s="17"/>
      <c r="DB35" s="17"/>
      <c r="DC35" s="17"/>
      <c r="DD35" s="17">
        <v>1</v>
      </c>
      <c r="DE35" s="17"/>
      <c r="DF35" s="17"/>
      <c r="DG35" s="17"/>
      <c r="DH35" s="17"/>
      <c r="DI35" s="17"/>
      <c r="DJ35" s="17"/>
      <c r="DK35" s="17">
        <v>1</v>
      </c>
      <c r="DL35" s="17">
        <v>1</v>
      </c>
      <c r="DM35" s="17">
        <v>1</v>
      </c>
      <c r="DN35" s="17"/>
      <c r="DO35" s="17"/>
      <c r="DP35" s="17">
        <v>1</v>
      </c>
      <c r="DQ35" s="17"/>
      <c r="DR35" s="17">
        <v>1</v>
      </c>
      <c r="DS35" s="17"/>
      <c r="DT35" s="17"/>
      <c r="DU35" s="17"/>
      <c r="DV35" s="17"/>
      <c r="DW35" s="17">
        <v>1</v>
      </c>
      <c r="DX35" s="17"/>
      <c r="DY35" s="17">
        <v>2</v>
      </c>
      <c r="DZ35" s="17"/>
      <c r="EA35" s="17"/>
      <c r="EB35" s="17"/>
      <c r="EC35" s="17"/>
      <c r="ED35" s="17"/>
      <c r="EE35" s="17"/>
      <c r="EF35" s="17"/>
      <c r="EG35" s="17">
        <v>2</v>
      </c>
      <c r="EH35" s="17"/>
      <c r="EI35" s="17"/>
      <c r="EJ35" s="17"/>
      <c r="EK35" s="17"/>
      <c r="EL35" s="17"/>
      <c r="EM35" s="17">
        <v>1</v>
      </c>
      <c r="EN35" s="17"/>
      <c r="EO35" s="17"/>
      <c r="EP35" s="17">
        <v>1</v>
      </c>
      <c r="EQ35" s="17"/>
      <c r="ER35" s="17"/>
      <c r="ES35" s="17"/>
      <c r="ET35" s="17"/>
      <c r="EU35" s="17"/>
      <c r="EV35" s="17">
        <v>1</v>
      </c>
      <c r="EW35" s="17"/>
      <c r="EX35" s="17">
        <v>1</v>
      </c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>
        <v>1</v>
      </c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>
        <v>1</v>
      </c>
      <c r="GZ35" s="17">
        <v>1</v>
      </c>
      <c r="HA35" s="17"/>
      <c r="HB35" s="17"/>
      <c r="HC35" s="17"/>
      <c r="HD35" s="17"/>
      <c r="HE35" s="17"/>
      <c r="HF35" s="17">
        <v>1</v>
      </c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>
        <v>1</v>
      </c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>
        <v>1</v>
      </c>
      <c r="JB35" s="17"/>
      <c r="JC35" s="17"/>
      <c r="JD35" s="17"/>
      <c r="JE35" s="17">
        <v>2</v>
      </c>
      <c r="JF35" s="17"/>
      <c r="JG35" s="17"/>
      <c r="JH35" s="17"/>
      <c r="JI35" s="17"/>
      <c r="JJ35" s="17"/>
      <c r="JK35" s="17">
        <v>2</v>
      </c>
      <c r="JL35" s="17"/>
      <c r="JM35" s="17"/>
      <c r="JN35" s="17"/>
      <c r="JO35" s="17"/>
      <c r="JP35" s="17"/>
      <c r="JQ35" s="17">
        <v>2</v>
      </c>
      <c r="JR35" s="17">
        <v>1</v>
      </c>
      <c r="JS35" s="17"/>
      <c r="JT35" s="17"/>
      <c r="JU35" s="17"/>
      <c r="JV35" s="17"/>
      <c r="JW35" s="17"/>
      <c r="JX35" s="17"/>
      <c r="JY35" s="17"/>
      <c r="JZ35" s="17">
        <v>2</v>
      </c>
      <c r="KA35" s="17"/>
      <c r="KB35" s="17"/>
      <c r="KC35" s="17">
        <v>2</v>
      </c>
      <c r="KD35" s="17">
        <v>2</v>
      </c>
      <c r="KE35" s="17"/>
      <c r="KF35" s="17"/>
      <c r="KG35" s="17"/>
      <c r="KH35" s="17"/>
      <c r="KI35" s="17"/>
      <c r="KJ35" s="17">
        <v>1</v>
      </c>
      <c r="KK35" s="17"/>
      <c r="KL35" s="17"/>
      <c r="KM35" s="17"/>
      <c r="KN35" s="17"/>
      <c r="KO35" s="17"/>
      <c r="KP35" s="17">
        <v>1</v>
      </c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>
        <v>1</v>
      </c>
      <c r="LD35" s="17"/>
      <c r="LE35" s="17"/>
      <c r="LF35" s="17"/>
      <c r="LG35" s="17">
        <v>1</v>
      </c>
      <c r="LH35" s="17"/>
      <c r="LI35" s="17">
        <v>1</v>
      </c>
      <c r="LJ35" s="17"/>
      <c r="LK35" s="17"/>
      <c r="LL35" s="17"/>
      <c r="LM35" s="17"/>
      <c r="LN35" s="17"/>
      <c r="LO35" s="17"/>
      <c r="LP35" s="17"/>
      <c r="LQ35" s="17">
        <v>1</v>
      </c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>
        <v>1</v>
      </c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>
        <v>1</v>
      </c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>
        <v>1</v>
      </c>
      <c r="PR35" s="17"/>
      <c r="PS35" s="17"/>
      <c r="PT35" s="17"/>
      <c r="PU35" s="17"/>
      <c r="PV35" s="17"/>
      <c r="PW35" s="17" t="s">
        <v>506</v>
      </c>
      <c r="PX35" s="17" t="s">
        <v>506</v>
      </c>
      <c r="PY35" s="17" t="s">
        <v>506</v>
      </c>
      <c r="PZ35" s="17" t="s">
        <v>506</v>
      </c>
      <c r="QA35" s="17" t="s">
        <v>506</v>
      </c>
      <c r="QB35" s="17" t="s">
        <v>507</v>
      </c>
      <c r="QC35" s="17" t="s">
        <v>507</v>
      </c>
      <c r="QD35" s="17" t="s">
        <v>508</v>
      </c>
      <c r="QE35" s="17" t="s">
        <v>507</v>
      </c>
      <c r="QF35" s="17" t="s">
        <v>513</v>
      </c>
      <c r="QG35" s="17" t="s">
        <v>507</v>
      </c>
      <c r="QH35" s="17" t="s">
        <v>508</v>
      </c>
      <c r="QI35" s="17">
        <v>1</v>
      </c>
      <c r="QJ35" s="17">
        <v>1</v>
      </c>
      <c r="QK35" s="17">
        <v>0</v>
      </c>
      <c r="QL35" s="17">
        <v>1</v>
      </c>
      <c r="QM35" s="17">
        <v>1</v>
      </c>
      <c r="QN35" s="17">
        <v>1</v>
      </c>
      <c r="QO35" s="17">
        <v>1</v>
      </c>
      <c r="QP35" s="17">
        <v>1</v>
      </c>
      <c r="QQ35" s="17">
        <v>1</v>
      </c>
      <c r="QR35" s="17">
        <v>1</v>
      </c>
      <c r="QS35" s="17">
        <v>0</v>
      </c>
      <c r="QT35" s="17">
        <v>0</v>
      </c>
      <c r="QU35" s="17">
        <v>1</v>
      </c>
      <c r="QV35" s="17">
        <v>0</v>
      </c>
      <c r="QW35" s="17">
        <v>0</v>
      </c>
      <c r="QX35" s="17">
        <v>0</v>
      </c>
      <c r="QY35" s="17">
        <v>0</v>
      </c>
      <c r="QZ35" s="17">
        <v>1</v>
      </c>
      <c r="RA35" s="17">
        <v>0</v>
      </c>
      <c r="RB35" s="17">
        <v>1</v>
      </c>
      <c r="RC35" s="17">
        <v>1</v>
      </c>
      <c r="RD35" s="17">
        <v>0</v>
      </c>
      <c r="RE35" s="17">
        <v>0</v>
      </c>
      <c r="RF35" s="17">
        <v>0</v>
      </c>
      <c r="RG35" s="17">
        <v>0</v>
      </c>
      <c r="RH35" s="17">
        <v>0</v>
      </c>
      <c r="RI35" s="17">
        <v>0</v>
      </c>
      <c r="RJ35" s="17">
        <v>0</v>
      </c>
      <c r="RK35" s="17">
        <v>0</v>
      </c>
      <c r="RL35" s="17">
        <v>0</v>
      </c>
      <c r="RM35" s="17">
        <v>0</v>
      </c>
      <c r="RN35" s="17">
        <v>0</v>
      </c>
      <c r="RO35" s="17">
        <v>0</v>
      </c>
      <c r="RP35" s="17">
        <v>0</v>
      </c>
      <c r="RQ35" s="17">
        <v>0</v>
      </c>
      <c r="RR35" s="17">
        <v>0</v>
      </c>
      <c r="RS35" s="17">
        <v>1</v>
      </c>
      <c r="RT35" s="17">
        <v>0</v>
      </c>
      <c r="RU35" s="17">
        <v>1</v>
      </c>
      <c r="RV35" s="17">
        <v>0</v>
      </c>
      <c r="RW35" s="17">
        <v>1</v>
      </c>
      <c r="RX35" s="17">
        <v>1</v>
      </c>
      <c r="RY35" s="17">
        <v>0</v>
      </c>
      <c r="RZ35" s="17">
        <v>0</v>
      </c>
      <c r="SA35" s="17">
        <v>1</v>
      </c>
      <c r="SB35" s="17">
        <v>0</v>
      </c>
      <c r="SC35" s="17">
        <v>0</v>
      </c>
      <c r="SD35" s="17">
        <v>0</v>
      </c>
      <c r="SE35" s="17">
        <v>1</v>
      </c>
      <c r="SF35" s="17">
        <v>1</v>
      </c>
      <c r="SG35" s="17">
        <v>0</v>
      </c>
      <c r="SH35" s="17">
        <v>0</v>
      </c>
      <c r="SI35" s="17">
        <v>10035</v>
      </c>
      <c r="SJ35" s="19">
        <f t="shared" si="3"/>
        <v>43</v>
      </c>
      <c r="SK35" s="19">
        <f t="shared" si="4"/>
        <v>52</v>
      </c>
      <c r="SL35" s="19">
        <f t="shared" si="5"/>
        <v>9</v>
      </c>
      <c r="SM35" s="9">
        <v>10035</v>
      </c>
      <c r="SN35" s="9" t="s">
        <v>504</v>
      </c>
      <c r="SO35" s="10">
        <v>1</v>
      </c>
      <c r="SP35" s="9">
        <v>2</v>
      </c>
      <c r="SQ35" s="11" t="s">
        <v>515</v>
      </c>
      <c r="SR35" s="9">
        <v>17</v>
      </c>
      <c r="SS35" s="28">
        <v>63.5</v>
      </c>
      <c r="ST35" s="28">
        <v>16</v>
      </c>
      <c r="SU35" s="28">
        <v>52</v>
      </c>
      <c r="SV35" s="28">
        <v>7</v>
      </c>
      <c r="SW35" s="28">
        <v>9</v>
      </c>
      <c r="SX35" s="28">
        <v>20</v>
      </c>
      <c r="SY35" s="29">
        <v>30</v>
      </c>
      <c r="SZ35" s="30">
        <v>15</v>
      </c>
      <c r="TA35" s="31">
        <v>14</v>
      </c>
      <c r="TB35" s="31">
        <v>20</v>
      </c>
    </row>
    <row r="36" spans="1:522" ht="15.75" customHeight="1" x14ac:dyDescent="0.2">
      <c r="A36" s="17">
        <v>10036</v>
      </c>
      <c r="B36" s="17" t="s">
        <v>501</v>
      </c>
      <c r="C36" s="17" t="s">
        <v>502</v>
      </c>
      <c r="D36" s="17" t="s">
        <v>512</v>
      </c>
      <c r="E36" s="17" t="s">
        <v>504</v>
      </c>
      <c r="F36" s="18">
        <v>37994</v>
      </c>
      <c r="G36" s="18">
        <v>38492</v>
      </c>
      <c r="H36" s="14">
        <f t="shared" si="2"/>
        <v>16</v>
      </c>
      <c r="I36" s="17" t="s">
        <v>505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7">
        <v>1</v>
      </c>
      <c r="AL36" s="17">
        <v>1</v>
      </c>
      <c r="AM36" s="17">
        <v>1</v>
      </c>
      <c r="AN36" s="17">
        <v>1</v>
      </c>
      <c r="AO36" s="17" t="s">
        <v>506</v>
      </c>
      <c r="AP36" s="17" t="s">
        <v>506</v>
      </c>
      <c r="AQ36" s="17">
        <v>2</v>
      </c>
      <c r="AR36" s="17">
        <v>2</v>
      </c>
      <c r="AS36" s="17">
        <v>1</v>
      </c>
      <c r="AT36" s="17">
        <v>2</v>
      </c>
      <c r="AU36" s="17">
        <v>2</v>
      </c>
      <c r="AV36" s="17">
        <v>2</v>
      </c>
      <c r="AW36" s="17">
        <v>2</v>
      </c>
      <c r="AX36" s="17">
        <v>2</v>
      </c>
      <c r="AY36" s="17">
        <v>2</v>
      </c>
      <c r="AZ36" s="17">
        <v>2</v>
      </c>
      <c r="BA36" s="17">
        <v>2</v>
      </c>
      <c r="BB36" s="17">
        <v>2</v>
      </c>
      <c r="BC36" s="17">
        <v>1</v>
      </c>
      <c r="BD36" s="17">
        <v>2</v>
      </c>
      <c r="BE36" s="17">
        <v>2</v>
      </c>
      <c r="BF36" s="17">
        <v>2</v>
      </c>
      <c r="BG36" s="17">
        <v>2</v>
      </c>
      <c r="BH36" s="17">
        <v>2</v>
      </c>
      <c r="BI36" s="17">
        <v>2</v>
      </c>
      <c r="BJ36" s="17">
        <v>2</v>
      </c>
      <c r="BK36" s="17">
        <v>2</v>
      </c>
      <c r="BL36" s="17">
        <v>2</v>
      </c>
      <c r="BM36" s="17">
        <v>1</v>
      </c>
      <c r="BN36" s="17">
        <v>2</v>
      </c>
      <c r="BO36" s="17">
        <v>1</v>
      </c>
      <c r="BP36" s="17">
        <v>2</v>
      </c>
      <c r="BQ36" s="17">
        <v>2</v>
      </c>
      <c r="BR36" s="17">
        <v>2</v>
      </c>
      <c r="BS36" s="17">
        <v>2</v>
      </c>
      <c r="BT36" s="17">
        <v>2</v>
      </c>
      <c r="BU36" s="17">
        <v>1</v>
      </c>
      <c r="BV36" s="17">
        <v>2</v>
      </c>
      <c r="BW36" s="17">
        <v>2</v>
      </c>
      <c r="BX36" s="17">
        <v>2</v>
      </c>
      <c r="BY36" s="17">
        <v>2</v>
      </c>
      <c r="BZ36" s="17">
        <v>1</v>
      </c>
      <c r="CA36" s="17">
        <v>2</v>
      </c>
      <c r="CB36" s="17">
        <v>2</v>
      </c>
      <c r="CC36" s="17">
        <v>1</v>
      </c>
      <c r="CD36" s="17">
        <v>2</v>
      </c>
      <c r="CE36" s="17">
        <v>2</v>
      </c>
      <c r="CF36" s="17">
        <v>2</v>
      </c>
      <c r="CG36" s="17">
        <v>1</v>
      </c>
      <c r="CH36" s="17">
        <v>2</v>
      </c>
      <c r="CI36" s="17">
        <v>2</v>
      </c>
      <c r="CJ36" s="17">
        <v>2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2</v>
      </c>
      <c r="CQ36" s="17">
        <v>1</v>
      </c>
      <c r="CR36" s="17">
        <v>1</v>
      </c>
      <c r="CS36" s="17">
        <v>1</v>
      </c>
      <c r="CT36" s="17">
        <v>2</v>
      </c>
      <c r="CU36" s="17">
        <v>2</v>
      </c>
      <c r="CV36" s="17">
        <v>2</v>
      </c>
      <c r="CW36" s="17">
        <v>2</v>
      </c>
      <c r="CX36" s="17">
        <v>2</v>
      </c>
      <c r="CY36" s="17">
        <v>2</v>
      </c>
      <c r="CZ36" s="17">
        <v>2</v>
      </c>
      <c r="DA36" s="17">
        <v>1</v>
      </c>
      <c r="DB36" s="17">
        <v>1</v>
      </c>
      <c r="DC36" s="17">
        <v>1</v>
      </c>
      <c r="DD36" s="17">
        <v>2</v>
      </c>
      <c r="DE36" s="17">
        <v>2</v>
      </c>
      <c r="DF36" s="17">
        <v>1</v>
      </c>
      <c r="DG36" s="17">
        <v>2</v>
      </c>
      <c r="DH36" s="17">
        <v>1</v>
      </c>
      <c r="DI36" s="17">
        <v>1</v>
      </c>
      <c r="DJ36" s="17">
        <v>2</v>
      </c>
      <c r="DK36" s="17">
        <v>1</v>
      </c>
      <c r="DL36" s="17">
        <v>1</v>
      </c>
      <c r="DM36" s="17">
        <v>2</v>
      </c>
      <c r="DN36" s="17">
        <v>1</v>
      </c>
      <c r="DO36" s="17">
        <v>1</v>
      </c>
      <c r="DP36" s="17">
        <v>1</v>
      </c>
      <c r="DQ36" s="17">
        <v>1</v>
      </c>
      <c r="DR36" s="17">
        <v>1</v>
      </c>
      <c r="DS36" s="17">
        <v>2</v>
      </c>
      <c r="DT36" s="17">
        <v>1</v>
      </c>
      <c r="DU36" s="17">
        <v>2</v>
      </c>
      <c r="DV36" s="17">
        <v>1</v>
      </c>
      <c r="DW36" s="17">
        <v>1</v>
      </c>
      <c r="DX36" s="17">
        <v>1</v>
      </c>
      <c r="DY36" s="17">
        <v>1</v>
      </c>
      <c r="DZ36" s="17">
        <v>2</v>
      </c>
      <c r="EA36" s="17">
        <v>2</v>
      </c>
      <c r="EB36" s="17">
        <v>2</v>
      </c>
      <c r="EC36" s="17">
        <v>2</v>
      </c>
      <c r="ED36" s="17">
        <v>1</v>
      </c>
      <c r="EE36" s="17">
        <v>1</v>
      </c>
      <c r="EF36" s="17">
        <v>1</v>
      </c>
      <c r="EG36" s="17">
        <v>2</v>
      </c>
      <c r="EH36" s="17"/>
      <c r="EI36" s="17">
        <v>2</v>
      </c>
      <c r="EJ36" s="17">
        <v>1</v>
      </c>
      <c r="EK36" s="17">
        <v>1</v>
      </c>
      <c r="EL36" s="17">
        <v>1</v>
      </c>
      <c r="EM36" s="17">
        <v>1</v>
      </c>
      <c r="EN36" s="17">
        <v>1</v>
      </c>
      <c r="EO36" s="17">
        <v>2</v>
      </c>
      <c r="EP36" s="17">
        <v>1</v>
      </c>
      <c r="EQ36" s="17">
        <v>1</v>
      </c>
      <c r="ER36" s="17">
        <v>1</v>
      </c>
      <c r="ES36" s="17">
        <v>1</v>
      </c>
      <c r="ET36" s="17">
        <v>2</v>
      </c>
      <c r="EU36" s="17">
        <v>2</v>
      </c>
      <c r="EV36" s="17">
        <v>2</v>
      </c>
      <c r="EW36" s="17">
        <v>1</v>
      </c>
      <c r="EX36" s="17">
        <v>2</v>
      </c>
      <c r="EY36" s="17">
        <v>1</v>
      </c>
      <c r="EZ36" s="17">
        <v>1</v>
      </c>
      <c r="FA36" s="17">
        <v>2</v>
      </c>
      <c r="FB36" s="17">
        <v>2</v>
      </c>
      <c r="FC36" s="17">
        <v>2</v>
      </c>
      <c r="FD36" s="17">
        <v>2</v>
      </c>
      <c r="FE36" s="17">
        <v>2</v>
      </c>
      <c r="FF36" s="17">
        <v>2</v>
      </c>
      <c r="FG36" s="17">
        <v>2</v>
      </c>
      <c r="FH36" s="17">
        <v>2</v>
      </c>
      <c r="FI36" s="17">
        <v>2</v>
      </c>
      <c r="FJ36" s="17">
        <v>2</v>
      </c>
      <c r="FK36" s="17">
        <v>2</v>
      </c>
      <c r="FL36" s="17">
        <v>2</v>
      </c>
      <c r="FM36" s="17">
        <v>2</v>
      </c>
      <c r="FN36" s="17">
        <v>2</v>
      </c>
      <c r="FO36" s="17">
        <v>2</v>
      </c>
      <c r="FP36" s="17">
        <v>2</v>
      </c>
      <c r="FQ36" s="17">
        <v>2</v>
      </c>
      <c r="FR36" s="17">
        <v>2</v>
      </c>
      <c r="FS36" s="17">
        <v>2</v>
      </c>
      <c r="FT36" s="17">
        <v>2</v>
      </c>
      <c r="FU36" s="17">
        <v>1</v>
      </c>
      <c r="FV36" s="17">
        <v>2</v>
      </c>
      <c r="FW36" s="17">
        <v>2</v>
      </c>
      <c r="FX36" s="17">
        <v>2</v>
      </c>
      <c r="FY36" s="17">
        <v>2</v>
      </c>
      <c r="FZ36" s="17">
        <v>2</v>
      </c>
      <c r="GA36" s="17">
        <v>1</v>
      </c>
      <c r="GB36" s="17">
        <v>1</v>
      </c>
      <c r="GC36" s="17">
        <v>2</v>
      </c>
      <c r="GD36" s="17">
        <v>1</v>
      </c>
      <c r="GE36" s="17">
        <v>2</v>
      </c>
      <c r="GF36" s="17">
        <v>2</v>
      </c>
      <c r="GG36" s="17">
        <v>1</v>
      </c>
      <c r="GH36" s="17">
        <v>1</v>
      </c>
      <c r="GI36" s="17">
        <v>2</v>
      </c>
      <c r="GJ36" s="17">
        <v>1</v>
      </c>
      <c r="GK36" s="17">
        <v>1</v>
      </c>
      <c r="GL36" s="17">
        <v>1</v>
      </c>
      <c r="GM36" s="17">
        <v>1</v>
      </c>
      <c r="GN36" s="17">
        <v>1</v>
      </c>
      <c r="GO36" s="17">
        <v>1</v>
      </c>
      <c r="GP36" s="17">
        <v>1</v>
      </c>
      <c r="GQ36" s="17">
        <v>2</v>
      </c>
      <c r="GR36" s="17">
        <v>1</v>
      </c>
      <c r="GS36" s="17">
        <v>2</v>
      </c>
      <c r="GT36" s="17">
        <v>2</v>
      </c>
      <c r="GU36" s="17">
        <v>1</v>
      </c>
      <c r="GV36" s="17">
        <v>1</v>
      </c>
      <c r="GW36" s="17">
        <v>1</v>
      </c>
      <c r="GX36" s="17">
        <v>2</v>
      </c>
      <c r="GY36" s="17">
        <v>1</v>
      </c>
      <c r="GZ36" s="17">
        <v>1</v>
      </c>
      <c r="HA36" s="17">
        <v>1</v>
      </c>
      <c r="HB36" s="17">
        <v>1</v>
      </c>
      <c r="HC36" s="17">
        <v>2</v>
      </c>
      <c r="HD36" s="17">
        <v>2</v>
      </c>
      <c r="HE36" s="17">
        <v>1</v>
      </c>
      <c r="HF36" s="17">
        <v>2</v>
      </c>
      <c r="HG36" s="17">
        <v>2</v>
      </c>
      <c r="HH36" s="17">
        <v>1</v>
      </c>
      <c r="HI36" s="17">
        <v>2</v>
      </c>
      <c r="HJ36" s="17">
        <v>2</v>
      </c>
      <c r="HK36" s="17">
        <v>2</v>
      </c>
      <c r="HL36" s="17">
        <v>2</v>
      </c>
      <c r="HM36" s="17">
        <v>2</v>
      </c>
      <c r="HN36" s="17">
        <v>2</v>
      </c>
      <c r="HO36" s="17">
        <v>1</v>
      </c>
      <c r="HP36" s="17">
        <v>1</v>
      </c>
      <c r="HQ36" s="17">
        <v>1</v>
      </c>
      <c r="HR36" s="17">
        <v>1</v>
      </c>
      <c r="HS36" s="17"/>
      <c r="HT36" s="17">
        <v>2</v>
      </c>
      <c r="HU36" s="17">
        <v>1</v>
      </c>
      <c r="HV36" s="17">
        <v>1</v>
      </c>
      <c r="HW36" s="17">
        <v>2</v>
      </c>
      <c r="HX36" s="17">
        <v>2</v>
      </c>
      <c r="HY36" s="17">
        <v>2</v>
      </c>
      <c r="HZ36" s="17">
        <v>2</v>
      </c>
      <c r="IA36" s="17">
        <v>1</v>
      </c>
      <c r="IB36" s="17">
        <v>1</v>
      </c>
      <c r="IC36" s="17">
        <v>1</v>
      </c>
      <c r="ID36" s="17">
        <v>1</v>
      </c>
      <c r="IE36" s="17">
        <v>1</v>
      </c>
      <c r="IF36" s="17">
        <v>2</v>
      </c>
      <c r="IG36" s="17">
        <v>1</v>
      </c>
      <c r="IH36" s="17">
        <v>1</v>
      </c>
      <c r="II36" s="17">
        <v>1</v>
      </c>
      <c r="IJ36" s="17">
        <v>2</v>
      </c>
      <c r="IK36" s="17">
        <v>2</v>
      </c>
      <c r="IL36" s="17">
        <v>1</v>
      </c>
      <c r="IM36" s="17">
        <v>1</v>
      </c>
      <c r="IN36" s="17">
        <v>2</v>
      </c>
      <c r="IO36" s="17">
        <v>1</v>
      </c>
      <c r="IP36" s="17">
        <v>1</v>
      </c>
      <c r="IQ36" s="17">
        <v>1</v>
      </c>
      <c r="IR36" s="17">
        <v>1</v>
      </c>
      <c r="IS36" s="17">
        <v>1</v>
      </c>
      <c r="IT36" s="17">
        <v>1</v>
      </c>
      <c r="IU36" s="17">
        <v>1</v>
      </c>
      <c r="IV36" s="17">
        <v>2</v>
      </c>
      <c r="IW36" s="17">
        <v>1</v>
      </c>
      <c r="IX36" s="17">
        <v>2</v>
      </c>
      <c r="IY36" s="17">
        <v>1</v>
      </c>
      <c r="IZ36" s="17">
        <v>1</v>
      </c>
      <c r="JA36" s="17">
        <v>1</v>
      </c>
      <c r="JB36" s="17">
        <v>1</v>
      </c>
      <c r="JC36" s="17">
        <v>1</v>
      </c>
      <c r="JD36" s="17">
        <v>1</v>
      </c>
      <c r="JE36" s="17">
        <v>2</v>
      </c>
      <c r="JF36" s="17">
        <v>1</v>
      </c>
      <c r="JG36" s="17">
        <v>2</v>
      </c>
      <c r="JH36" s="17">
        <v>1</v>
      </c>
      <c r="JI36" s="17">
        <v>1</v>
      </c>
      <c r="JJ36" s="17">
        <v>1</v>
      </c>
      <c r="JK36" s="17">
        <v>2</v>
      </c>
      <c r="JL36" s="17">
        <v>1</v>
      </c>
      <c r="JM36" s="17">
        <v>2</v>
      </c>
      <c r="JN36" s="17">
        <v>2</v>
      </c>
      <c r="JO36" s="17">
        <v>1</v>
      </c>
      <c r="JP36" s="17">
        <v>1</v>
      </c>
      <c r="JQ36" s="17">
        <v>2</v>
      </c>
      <c r="JR36" s="17">
        <v>1</v>
      </c>
      <c r="JS36" s="17">
        <v>1</v>
      </c>
      <c r="JT36" s="17">
        <v>1</v>
      </c>
      <c r="JU36" s="17">
        <v>1</v>
      </c>
      <c r="JV36" s="17">
        <v>1</v>
      </c>
      <c r="JW36" s="17">
        <v>1</v>
      </c>
      <c r="JX36" s="17">
        <v>2</v>
      </c>
      <c r="JY36" s="17">
        <v>1</v>
      </c>
      <c r="JZ36" s="17">
        <v>2</v>
      </c>
      <c r="KA36" s="17">
        <v>1</v>
      </c>
      <c r="KB36" s="17">
        <v>2</v>
      </c>
      <c r="KC36" s="17">
        <v>2</v>
      </c>
      <c r="KD36" s="17">
        <v>2</v>
      </c>
      <c r="KE36" s="17">
        <v>1</v>
      </c>
      <c r="KF36" s="17">
        <v>1</v>
      </c>
      <c r="KG36" s="17">
        <v>1</v>
      </c>
      <c r="KH36" s="17">
        <v>2</v>
      </c>
      <c r="KI36" s="17">
        <v>1</v>
      </c>
      <c r="KJ36" s="17">
        <v>1</v>
      </c>
      <c r="KK36" s="17">
        <v>2</v>
      </c>
      <c r="KL36" s="17">
        <v>2</v>
      </c>
      <c r="KM36" s="17">
        <v>2</v>
      </c>
      <c r="KN36" s="17">
        <v>1</v>
      </c>
      <c r="KO36" s="17">
        <v>1</v>
      </c>
      <c r="KP36" s="17"/>
      <c r="KQ36" s="17">
        <v>1</v>
      </c>
      <c r="KR36" s="17">
        <v>1</v>
      </c>
      <c r="KS36" s="17">
        <v>1</v>
      </c>
      <c r="KT36" s="17">
        <v>1</v>
      </c>
      <c r="KU36" s="17">
        <v>1</v>
      </c>
      <c r="KV36" s="17">
        <v>2</v>
      </c>
      <c r="KW36" s="17">
        <v>1</v>
      </c>
      <c r="KX36" s="17">
        <v>1</v>
      </c>
      <c r="KY36" s="17">
        <v>1</v>
      </c>
      <c r="KZ36" s="17">
        <v>1</v>
      </c>
      <c r="LA36" s="17">
        <v>1</v>
      </c>
      <c r="LB36" s="17">
        <v>1</v>
      </c>
      <c r="LC36" s="17">
        <v>1</v>
      </c>
      <c r="LD36" s="17">
        <v>1</v>
      </c>
      <c r="LE36" s="17">
        <v>1</v>
      </c>
      <c r="LF36" s="17">
        <v>1</v>
      </c>
      <c r="LG36" s="17">
        <v>1</v>
      </c>
      <c r="LH36" s="17">
        <v>1</v>
      </c>
      <c r="LI36" s="17">
        <v>1</v>
      </c>
      <c r="LJ36" s="17"/>
      <c r="LK36" s="17">
        <v>1</v>
      </c>
      <c r="LL36" s="17">
        <v>1</v>
      </c>
      <c r="LM36" s="17">
        <v>1</v>
      </c>
      <c r="LN36" s="17">
        <v>1</v>
      </c>
      <c r="LO36" s="17">
        <v>1</v>
      </c>
      <c r="LP36" s="17">
        <v>2</v>
      </c>
      <c r="LQ36" s="17">
        <v>1</v>
      </c>
      <c r="LR36" s="17">
        <v>1</v>
      </c>
      <c r="LS36" s="17">
        <v>1</v>
      </c>
      <c r="LT36" s="17">
        <v>2</v>
      </c>
      <c r="LU36" s="17">
        <v>1</v>
      </c>
      <c r="LV36" s="17">
        <v>1</v>
      </c>
      <c r="LW36" s="17">
        <v>1</v>
      </c>
      <c r="LX36" s="17">
        <v>1</v>
      </c>
      <c r="LY36" s="17">
        <v>1</v>
      </c>
      <c r="LZ36" s="17">
        <v>1</v>
      </c>
      <c r="MA36" s="17">
        <v>1</v>
      </c>
      <c r="MB36" s="17">
        <v>1</v>
      </c>
      <c r="MC36" s="17">
        <v>1</v>
      </c>
      <c r="MD36" s="17">
        <v>1</v>
      </c>
      <c r="ME36" s="17">
        <v>1</v>
      </c>
      <c r="MF36" s="17">
        <v>1</v>
      </c>
      <c r="MG36" s="17">
        <v>2</v>
      </c>
      <c r="MH36" s="17">
        <v>2</v>
      </c>
      <c r="MI36" s="17">
        <v>2</v>
      </c>
      <c r="MJ36" s="17">
        <v>1</v>
      </c>
      <c r="MK36" s="17">
        <v>1</v>
      </c>
      <c r="ML36" s="17">
        <v>2</v>
      </c>
      <c r="MM36" s="17">
        <v>2</v>
      </c>
      <c r="MN36" s="17">
        <v>2</v>
      </c>
      <c r="MO36" s="17">
        <v>2</v>
      </c>
      <c r="MP36" s="17">
        <v>2</v>
      </c>
      <c r="MQ36" s="17">
        <v>2</v>
      </c>
      <c r="MR36" s="17">
        <v>2</v>
      </c>
      <c r="MS36" s="17">
        <v>1</v>
      </c>
      <c r="MT36" s="17">
        <v>1</v>
      </c>
      <c r="MU36" s="17">
        <v>1</v>
      </c>
      <c r="MV36" s="17">
        <v>1</v>
      </c>
      <c r="MW36" s="17">
        <v>1</v>
      </c>
      <c r="MX36" s="17">
        <v>1</v>
      </c>
      <c r="MY36" s="17">
        <v>1</v>
      </c>
      <c r="MZ36" s="17">
        <v>1</v>
      </c>
      <c r="NA36" s="17">
        <v>1</v>
      </c>
      <c r="NB36" s="17">
        <v>2</v>
      </c>
      <c r="NC36" s="17">
        <v>2</v>
      </c>
      <c r="ND36" s="17">
        <v>2</v>
      </c>
      <c r="NE36" s="17">
        <v>2</v>
      </c>
      <c r="NF36" s="17">
        <v>2</v>
      </c>
      <c r="NG36" s="17">
        <v>2</v>
      </c>
      <c r="NH36" s="17">
        <v>1</v>
      </c>
      <c r="NI36" s="17">
        <v>1</v>
      </c>
      <c r="NJ36" s="17">
        <v>2</v>
      </c>
      <c r="NK36" s="17">
        <v>1</v>
      </c>
      <c r="NL36" s="17">
        <v>1</v>
      </c>
      <c r="NM36" s="17">
        <v>1</v>
      </c>
      <c r="NN36" s="17">
        <v>1</v>
      </c>
      <c r="NO36" s="17">
        <v>1</v>
      </c>
      <c r="NP36" s="17">
        <v>1</v>
      </c>
      <c r="NQ36" s="17"/>
      <c r="NR36" s="17">
        <v>1</v>
      </c>
      <c r="NS36" s="17">
        <v>1</v>
      </c>
      <c r="NT36" s="17">
        <v>2</v>
      </c>
      <c r="NU36" s="17">
        <v>1</v>
      </c>
      <c r="NV36" s="17">
        <v>2</v>
      </c>
      <c r="NW36" s="17">
        <v>1</v>
      </c>
      <c r="NX36" s="17">
        <v>1</v>
      </c>
      <c r="NY36" s="17">
        <v>1</v>
      </c>
      <c r="NZ36" s="17">
        <v>1</v>
      </c>
      <c r="OA36" s="17">
        <v>1</v>
      </c>
      <c r="OB36" s="17">
        <v>1</v>
      </c>
      <c r="OC36" s="17">
        <v>1</v>
      </c>
      <c r="OD36" s="17">
        <v>2</v>
      </c>
      <c r="OE36" s="17">
        <v>1</v>
      </c>
      <c r="OF36" s="17">
        <v>1</v>
      </c>
      <c r="OG36" s="17">
        <v>1</v>
      </c>
      <c r="OH36" s="17">
        <v>1</v>
      </c>
      <c r="OI36" s="17">
        <v>1</v>
      </c>
      <c r="OJ36" s="17">
        <v>1</v>
      </c>
      <c r="OK36" s="17">
        <v>2</v>
      </c>
      <c r="OL36" s="17">
        <v>1</v>
      </c>
      <c r="OM36" s="17"/>
      <c r="ON36" s="17"/>
      <c r="OO36" s="17">
        <v>1</v>
      </c>
      <c r="OP36" s="17"/>
      <c r="OQ36" s="17">
        <v>2</v>
      </c>
      <c r="OR36" s="17"/>
      <c r="OS36" s="17"/>
      <c r="OT36" s="17"/>
      <c r="OU36" s="17"/>
      <c r="OV36" s="17"/>
      <c r="OW36" s="17"/>
      <c r="OX36" s="17"/>
      <c r="OY36" s="17">
        <v>1</v>
      </c>
      <c r="OZ36" s="17">
        <v>1</v>
      </c>
      <c r="PA36" s="17">
        <v>1</v>
      </c>
      <c r="PB36" s="17">
        <v>1</v>
      </c>
      <c r="PC36" s="17">
        <v>1</v>
      </c>
      <c r="PD36" s="17">
        <v>1</v>
      </c>
      <c r="PE36" s="17">
        <v>1</v>
      </c>
      <c r="PF36" s="17">
        <v>2</v>
      </c>
      <c r="PG36" s="17">
        <v>1</v>
      </c>
      <c r="PH36" s="17">
        <v>1</v>
      </c>
      <c r="PI36" s="17">
        <v>1</v>
      </c>
      <c r="PJ36" s="17">
        <v>1</v>
      </c>
      <c r="PK36" s="17">
        <v>1</v>
      </c>
      <c r="PL36" s="17"/>
      <c r="PM36" s="17">
        <v>1</v>
      </c>
      <c r="PN36" s="17">
        <v>2</v>
      </c>
      <c r="PO36" s="17"/>
      <c r="PP36" s="17"/>
      <c r="PQ36" s="17">
        <v>2</v>
      </c>
      <c r="PR36" s="17">
        <v>1</v>
      </c>
      <c r="PS36" s="17">
        <v>1</v>
      </c>
      <c r="PT36" s="17"/>
      <c r="PU36" s="17">
        <v>1</v>
      </c>
      <c r="PV36" s="17"/>
      <c r="PW36" s="17" t="s">
        <v>506</v>
      </c>
      <c r="PX36" s="17" t="s">
        <v>506</v>
      </c>
      <c r="PY36" s="17" t="s">
        <v>506</v>
      </c>
      <c r="PZ36" s="17" t="s">
        <v>506</v>
      </c>
      <c r="QA36" s="17" t="s">
        <v>506</v>
      </c>
      <c r="QB36" s="17" t="s">
        <v>506</v>
      </c>
      <c r="QC36" s="17" t="s">
        <v>506</v>
      </c>
      <c r="QD36" s="17" t="s">
        <v>506</v>
      </c>
      <c r="QE36" s="17" t="s">
        <v>506</v>
      </c>
      <c r="QF36" s="17" t="s">
        <v>506</v>
      </c>
      <c r="QG36" s="17" t="s">
        <v>506</v>
      </c>
      <c r="QH36" s="17" t="s">
        <v>506</v>
      </c>
      <c r="QI36" s="17">
        <v>1</v>
      </c>
      <c r="QJ36" s="17">
        <v>1</v>
      </c>
      <c r="QK36" s="17">
        <v>1</v>
      </c>
      <c r="QL36" s="17">
        <v>1</v>
      </c>
      <c r="QM36" s="17">
        <v>1</v>
      </c>
      <c r="QN36" s="17">
        <v>1</v>
      </c>
      <c r="QO36" s="17">
        <v>1</v>
      </c>
      <c r="QP36" s="17">
        <v>1</v>
      </c>
      <c r="QQ36" s="17">
        <v>1</v>
      </c>
      <c r="QR36" s="17">
        <v>1</v>
      </c>
      <c r="QS36" s="17">
        <v>1</v>
      </c>
      <c r="QT36" s="17">
        <v>1</v>
      </c>
      <c r="QU36" s="17">
        <v>1</v>
      </c>
      <c r="QV36" s="17">
        <v>1</v>
      </c>
      <c r="QW36" s="17">
        <v>1</v>
      </c>
      <c r="QX36" s="17">
        <v>1</v>
      </c>
      <c r="QY36" s="17">
        <v>1</v>
      </c>
      <c r="QZ36" s="17">
        <v>1</v>
      </c>
      <c r="RA36" s="17">
        <v>1</v>
      </c>
      <c r="RB36" s="17">
        <v>1</v>
      </c>
      <c r="RC36" s="17">
        <v>1</v>
      </c>
      <c r="RD36" s="17">
        <v>1</v>
      </c>
      <c r="RE36" s="17">
        <v>1</v>
      </c>
      <c r="RF36" s="17">
        <v>0</v>
      </c>
      <c r="RG36" s="17">
        <v>0</v>
      </c>
      <c r="RH36" s="17">
        <v>0</v>
      </c>
      <c r="RI36" s="17">
        <v>0</v>
      </c>
      <c r="RJ36" s="17">
        <v>1</v>
      </c>
      <c r="RK36" s="17">
        <v>1</v>
      </c>
      <c r="RL36" s="17">
        <v>0</v>
      </c>
      <c r="RM36" s="17">
        <v>1</v>
      </c>
      <c r="RN36" s="17">
        <v>1</v>
      </c>
      <c r="RO36" s="17">
        <v>1</v>
      </c>
      <c r="RP36" s="17">
        <v>1</v>
      </c>
      <c r="RQ36" s="17">
        <v>1</v>
      </c>
      <c r="RR36" s="17">
        <v>0</v>
      </c>
      <c r="RS36" s="17">
        <v>1</v>
      </c>
      <c r="RT36" s="17">
        <v>1</v>
      </c>
      <c r="RU36" s="17">
        <v>1</v>
      </c>
      <c r="RV36" s="17">
        <v>0</v>
      </c>
      <c r="RW36" s="17">
        <v>1</v>
      </c>
      <c r="RX36" s="17">
        <v>1</v>
      </c>
      <c r="RY36" s="17">
        <v>1</v>
      </c>
      <c r="RZ36" s="17">
        <v>1</v>
      </c>
      <c r="SA36" s="17">
        <v>1</v>
      </c>
      <c r="SB36" s="17">
        <v>1</v>
      </c>
      <c r="SC36" s="17">
        <v>1</v>
      </c>
      <c r="SD36" s="17">
        <v>1</v>
      </c>
      <c r="SE36" s="17">
        <v>1</v>
      </c>
      <c r="SF36" s="17">
        <v>1</v>
      </c>
      <c r="SG36" s="17">
        <v>1</v>
      </c>
      <c r="SH36" s="17">
        <v>1</v>
      </c>
      <c r="SI36" s="17">
        <v>10036</v>
      </c>
      <c r="SJ36" s="19">
        <f t="shared" si="3"/>
        <v>215</v>
      </c>
      <c r="SK36" s="19">
        <f t="shared" si="4"/>
        <v>376</v>
      </c>
      <c r="SL36" s="19">
        <f t="shared" si="5"/>
        <v>161</v>
      </c>
      <c r="SM36" s="9">
        <v>10036</v>
      </c>
      <c r="SN36" s="9" t="s">
        <v>504</v>
      </c>
      <c r="SO36" s="10">
        <v>1</v>
      </c>
      <c r="SP36" s="9">
        <v>1</v>
      </c>
      <c r="SQ36" s="11" t="s">
        <v>517</v>
      </c>
      <c r="SR36" s="9">
        <v>16</v>
      </c>
      <c r="SS36" s="28">
        <v>56</v>
      </c>
      <c r="ST36" s="28">
        <v>16</v>
      </c>
      <c r="SU36" s="28">
        <v>378</v>
      </c>
      <c r="SV36" s="28">
        <v>99</v>
      </c>
      <c r="SW36" s="28">
        <v>161</v>
      </c>
      <c r="SX36" s="28">
        <v>97</v>
      </c>
      <c r="SY36" s="29">
        <v>56</v>
      </c>
      <c r="SZ36" s="30">
        <v>97</v>
      </c>
      <c r="TA36" s="31">
        <v>28</v>
      </c>
      <c r="TB36" s="31">
        <v>99</v>
      </c>
    </row>
    <row r="37" spans="1:522" ht="15.75" customHeight="1" x14ac:dyDescent="0.2">
      <c r="A37" s="17">
        <v>10037</v>
      </c>
      <c r="B37" s="17" t="s">
        <v>501</v>
      </c>
      <c r="C37" s="17" t="s">
        <v>502</v>
      </c>
      <c r="D37" s="17" t="s">
        <v>512</v>
      </c>
      <c r="E37" s="17" t="s">
        <v>504</v>
      </c>
      <c r="F37" s="18">
        <v>37995</v>
      </c>
      <c r="G37" s="18">
        <v>38497</v>
      </c>
      <c r="H37" s="14">
        <f t="shared" si="2"/>
        <v>16</v>
      </c>
      <c r="I37" s="17" t="s">
        <v>505</v>
      </c>
      <c r="J37" s="17">
        <v>1</v>
      </c>
      <c r="K37" s="17">
        <v>0</v>
      </c>
      <c r="L37" s="17">
        <v>1</v>
      </c>
      <c r="M37" s="17"/>
      <c r="N37" s="17">
        <v>1</v>
      </c>
      <c r="O37" s="17">
        <v>1</v>
      </c>
      <c r="P37" s="17"/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/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/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/>
      <c r="AM37" s="17"/>
      <c r="AN37" s="17"/>
      <c r="AO37" s="17" t="s">
        <v>507</v>
      </c>
      <c r="AP37" s="17" t="s">
        <v>508</v>
      </c>
      <c r="AQ37" s="17"/>
      <c r="AR37" s="17"/>
      <c r="AS37" s="17"/>
      <c r="AT37" s="17">
        <v>1</v>
      </c>
      <c r="AU37" s="17"/>
      <c r="AV37" s="17"/>
      <c r="AW37" s="17">
        <v>1</v>
      </c>
      <c r="AX37" s="17"/>
      <c r="AY37" s="17">
        <v>2</v>
      </c>
      <c r="AZ37" s="17"/>
      <c r="BA37" s="17"/>
      <c r="BB37" s="17">
        <v>1</v>
      </c>
      <c r="BC37" s="17"/>
      <c r="BD37" s="17">
        <v>1</v>
      </c>
      <c r="BE37" s="17"/>
      <c r="BF37" s="17"/>
      <c r="BG37" s="17"/>
      <c r="BH37" s="17">
        <v>1</v>
      </c>
      <c r="BI37" s="17"/>
      <c r="BJ37" s="17"/>
      <c r="BK37" s="17"/>
      <c r="BL37" s="17"/>
      <c r="BM37" s="17"/>
      <c r="BN37" s="17">
        <v>1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>
        <v>1</v>
      </c>
      <c r="CA37" s="17"/>
      <c r="CB37" s="17"/>
      <c r="CC37" s="17"/>
      <c r="CD37" s="17"/>
      <c r="CE37" s="17"/>
      <c r="CF37" s="17">
        <v>1</v>
      </c>
      <c r="CG37" s="17"/>
      <c r="CH37" s="17"/>
      <c r="CI37" s="17"/>
      <c r="CJ37" s="17"/>
      <c r="CK37" s="17"/>
      <c r="CL37" s="17"/>
      <c r="CM37" s="17"/>
      <c r="CN37" s="17"/>
      <c r="CO37" s="17"/>
      <c r="CP37" s="17">
        <v>1</v>
      </c>
      <c r="CQ37" s="17"/>
      <c r="CR37" s="17"/>
      <c r="CS37" s="17"/>
      <c r="CT37" s="17"/>
      <c r="CU37" s="17"/>
      <c r="CV37" s="17">
        <v>1</v>
      </c>
      <c r="CW37" s="17">
        <v>1</v>
      </c>
      <c r="CX37" s="17"/>
      <c r="CY37" s="17">
        <v>1</v>
      </c>
      <c r="CZ37" s="17"/>
      <c r="DA37" s="17">
        <v>1</v>
      </c>
      <c r="DB37" s="17"/>
      <c r="DC37" s="17">
        <v>1</v>
      </c>
      <c r="DD37" s="17">
        <v>1</v>
      </c>
      <c r="DE37" s="17"/>
      <c r="DF37" s="17"/>
      <c r="DG37" s="17"/>
      <c r="DH37" s="17">
        <v>1</v>
      </c>
      <c r="DI37" s="17"/>
      <c r="DJ37" s="17"/>
      <c r="DK37" s="17"/>
      <c r="DL37" s="17">
        <v>1</v>
      </c>
      <c r="DM37" s="17"/>
      <c r="DN37" s="17"/>
      <c r="DO37" s="17"/>
      <c r="DP37" s="17">
        <v>1</v>
      </c>
      <c r="DQ37" s="17"/>
      <c r="DR37" s="17">
        <v>1</v>
      </c>
      <c r="DS37" s="17"/>
      <c r="DT37" s="17"/>
      <c r="DU37" s="17">
        <v>1</v>
      </c>
      <c r="DV37" s="17"/>
      <c r="DW37" s="17">
        <v>1</v>
      </c>
      <c r="DX37" s="17"/>
      <c r="DY37" s="17">
        <v>1</v>
      </c>
      <c r="DZ37" s="17"/>
      <c r="EA37" s="17">
        <v>1</v>
      </c>
      <c r="EB37" s="17"/>
      <c r="EC37" s="17">
        <v>1</v>
      </c>
      <c r="ED37" s="17">
        <v>1</v>
      </c>
      <c r="EE37" s="17"/>
      <c r="EF37" s="17"/>
      <c r="EG37" s="17">
        <v>1</v>
      </c>
      <c r="EH37" s="17"/>
      <c r="EI37" s="17">
        <v>1</v>
      </c>
      <c r="EJ37" s="17"/>
      <c r="EK37" s="17"/>
      <c r="EL37" s="17"/>
      <c r="EM37" s="17">
        <v>1</v>
      </c>
      <c r="EN37" s="17"/>
      <c r="EO37" s="17">
        <v>1</v>
      </c>
      <c r="EP37" s="17"/>
      <c r="EQ37" s="17"/>
      <c r="ER37" s="17"/>
      <c r="ES37" s="17">
        <v>1</v>
      </c>
      <c r="ET37" s="17"/>
      <c r="EU37" s="17"/>
      <c r="EV37" s="17">
        <v>1</v>
      </c>
      <c r="EW37" s="17">
        <v>1</v>
      </c>
      <c r="EX37" s="17">
        <v>1</v>
      </c>
      <c r="EY37" s="17"/>
      <c r="EZ37" s="17"/>
      <c r="FA37" s="17"/>
      <c r="FB37" s="17"/>
      <c r="FC37" s="17"/>
      <c r="FD37" s="17"/>
      <c r="FE37" s="17">
        <v>1</v>
      </c>
      <c r="FF37" s="17"/>
      <c r="FG37" s="17">
        <v>1</v>
      </c>
      <c r="FH37" s="17"/>
      <c r="FI37" s="17">
        <v>1</v>
      </c>
      <c r="FJ37" s="17">
        <v>1</v>
      </c>
      <c r="FK37" s="17">
        <v>1</v>
      </c>
      <c r="FL37" s="17"/>
      <c r="FM37" s="17"/>
      <c r="FN37" s="17">
        <v>1</v>
      </c>
      <c r="FO37" s="17">
        <v>1</v>
      </c>
      <c r="FP37" s="17">
        <v>1</v>
      </c>
      <c r="FQ37" s="17"/>
      <c r="FR37" s="17">
        <v>1</v>
      </c>
      <c r="FS37" s="17">
        <v>1</v>
      </c>
      <c r="FT37" s="17">
        <v>1</v>
      </c>
      <c r="FU37" s="17">
        <v>1</v>
      </c>
      <c r="FV37" s="17"/>
      <c r="FW37" s="17"/>
      <c r="FX37" s="17"/>
      <c r="FY37" s="17">
        <v>1</v>
      </c>
      <c r="FZ37" s="17">
        <v>1</v>
      </c>
      <c r="GA37" s="17"/>
      <c r="GB37" s="17">
        <v>1</v>
      </c>
      <c r="GC37" s="17">
        <v>1</v>
      </c>
      <c r="GD37" s="17"/>
      <c r="GE37" s="17"/>
      <c r="GF37" s="17">
        <v>1</v>
      </c>
      <c r="GG37" s="17">
        <v>1</v>
      </c>
      <c r="GH37" s="17"/>
      <c r="GI37" s="17">
        <v>1</v>
      </c>
      <c r="GJ37" s="17"/>
      <c r="GK37" s="17">
        <v>1</v>
      </c>
      <c r="GL37" s="17">
        <v>1</v>
      </c>
      <c r="GM37" s="17"/>
      <c r="GN37" s="17"/>
      <c r="GO37" s="17"/>
      <c r="GP37" s="17"/>
      <c r="GQ37" s="17">
        <v>1</v>
      </c>
      <c r="GR37" s="17"/>
      <c r="GS37" s="17"/>
      <c r="GT37" s="17"/>
      <c r="GU37" s="17"/>
      <c r="GV37" s="17"/>
      <c r="GW37" s="17"/>
      <c r="GX37" s="17">
        <v>1</v>
      </c>
      <c r="GY37" s="17">
        <v>1</v>
      </c>
      <c r="GZ37" s="17">
        <v>1</v>
      </c>
      <c r="HA37" s="17">
        <v>1</v>
      </c>
      <c r="HB37" s="17"/>
      <c r="HC37" s="17"/>
      <c r="HD37" s="17"/>
      <c r="HE37" s="17">
        <v>1</v>
      </c>
      <c r="HF37" s="17">
        <v>1</v>
      </c>
      <c r="HG37" s="17">
        <v>1</v>
      </c>
      <c r="HH37" s="17">
        <v>1</v>
      </c>
      <c r="HI37" s="17">
        <v>1</v>
      </c>
      <c r="HJ37" s="17"/>
      <c r="HK37" s="17">
        <v>1</v>
      </c>
      <c r="HL37" s="17">
        <v>1</v>
      </c>
      <c r="HM37" s="17"/>
      <c r="HN37" s="17"/>
      <c r="HO37" s="17">
        <v>1</v>
      </c>
      <c r="HP37" s="17">
        <v>1</v>
      </c>
      <c r="HQ37" s="17">
        <v>1</v>
      </c>
      <c r="HR37" s="17"/>
      <c r="HS37" s="17"/>
      <c r="HT37" s="17">
        <v>1</v>
      </c>
      <c r="HU37" s="17">
        <v>1</v>
      </c>
      <c r="HV37" s="17">
        <v>1</v>
      </c>
      <c r="HW37" s="17"/>
      <c r="HX37" s="17">
        <v>1</v>
      </c>
      <c r="HY37" s="17"/>
      <c r="HZ37" s="17">
        <v>1</v>
      </c>
      <c r="IA37" s="17">
        <v>1</v>
      </c>
      <c r="IB37" s="17"/>
      <c r="IC37" s="17"/>
      <c r="ID37" s="17"/>
      <c r="IE37" s="17"/>
      <c r="IF37" s="17"/>
      <c r="IG37" s="17"/>
      <c r="IH37" s="17">
        <v>1</v>
      </c>
      <c r="II37" s="17"/>
      <c r="IJ37" s="17"/>
      <c r="IK37" s="17">
        <v>1</v>
      </c>
      <c r="IL37" s="17"/>
      <c r="IM37" s="17"/>
      <c r="IN37" s="17"/>
      <c r="IO37" s="17"/>
      <c r="IP37" s="17">
        <v>1</v>
      </c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>
        <v>1</v>
      </c>
      <c r="JB37" s="17"/>
      <c r="JC37" s="17"/>
      <c r="JD37" s="17"/>
      <c r="JE37" s="17"/>
      <c r="JF37" s="17"/>
      <c r="JG37" s="17"/>
      <c r="JH37" s="17"/>
      <c r="JI37" s="17">
        <v>1</v>
      </c>
      <c r="JJ37" s="17"/>
      <c r="JK37" s="17">
        <v>2</v>
      </c>
      <c r="JL37" s="17"/>
      <c r="JM37" s="17">
        <v>1</v>
      </c>
      <c r="JN37" s="17">
        <v>1</v>
      </c>
      <c r="JO37" s="17"/>
      <c r="JP37" s="17"/>
      <c r="JQ37" s="17">
        <v>2</v>
      </c>
      <c r="JR37" s="17">
        <v>2</v>
      </c>
      <c r="JS37" s="17"/>
      <c r="JT37" s="17"/>
      <c r="JU37" s="17"/>
      <c r="JV37" s="17"/>
      <c r="JW37" s="17"/>
      <c r="JX37" s="17">
        <v>1</v>
      </c>
      <c r="JY37" s="17">
        <v>1</v>
      </c>
      <c r="JZ37" s="17">
        <v>1</v>
      </c>
      <c r="KA37" s="17"/>
      <c r="KB37" s="17">
        <v>1</v>
      </c>
      <c r="KC37" s="17">
        <v>1</v>
      </c>
      <c r="KD37" s="17">
        <v>1</v>
      </c>
      <c r="KE37" s="17">
        <v>1</v>
      </c>
      <c r="KF37" s="17">
        <v>1</v>
      </c>
      <c r="KG37" s="17">
        <v>1</v>
      </c>
      <c r="KH37" s="17">
        <v>1</v>
      </c>
      <c r="KI37" s="17"/>
      <c r="KJ37" s="17">
        <v>1</v>
      </c>
      <c r="KK37" s="17">
        <v>1</v>
      </c>
      <c r="KL37" s="17"/>
      <c r="KM37" s="17">
        <v>1</v>
      </c>
      <c r="KN37" s="17"/>
      <c r="KO37" s="17">
        <v>1</v>
      </c>
      <c r="KP37" s="17"/>
      <c r="KQ37" s="17">
        <v>1</v>
      </c>
      <c r="KR37" s="17"/>
      <c r="KS37" s="17"/>
      <c r="KT37" s="17">
        <v>1</v>
      </c>
      <c r="KU37" s="17">
        <v>1</v>
      </c>
      <c r="KV37" s="17"/>
      <c r="KW37" s="17">
        <v>1</v>
      </c>
      <c r="KX37" s="17">
        <v>1</v>
      </c>
      <c r="KY37" s="17">
        <v>1</v>
      </c>
      <c r="KZ37" s="17"/>
      <c r="LA37" s="17">
        <v>1</v>
      </c>
      <c r="LB37" s="17"/>
      <c r="LC37" s="17">
        <v>1</v>
      </c>
      <c r="LD37" s="17">
        <v>1</v>
      </c>
      <c r="LE37" s="17"/>
      <c r="LF37" s="17">
        <v>1</v>
      </c>
      <c r="LG37" s="17">
        <v>1</v>
      </c>
      <c r="LH37" s="17">
        <v>1</v>
      </c>
      <c r="LI37" s="17">
        <v>1</v>
      </c>
      <c r="LJ37" s="17"/>
      <c r="LK37" s="17">
        <v>1</v>
      </c>
      <c r="LL37" s="17">
        <v>1</v>
      </c>
      <c r="LM37" s="17">
        <v>1</v>
      </c>
      <c r="LN37" s="17"/>
      <c r="LO37" s="17"/>
      <c r="LP37" s="17">
        <v>1</v>
      </c>
      <c r="LQ37" s="17">
        <v>1</v>
      </c>
      <c r="LR37" s="17"/>
      <c r="LS37" s="17">
        <v>1</v>
      </c>
      <c r="LT37" s="17">
        <v>1</v>
      </c>
      <c r="LU37" s="17"/>
      <c r="LV37" s="17"/>
      <c r="LW37" s="17"/>
      <c r="LX37" s="17">
        <v>1</v>
      </c>
      <c r="LY37" s="17"/>
      <c r="LZ37" s="17">
        <v>1</v>
      </c>
      <c r="MA37" s="17"/>
      <c r="MB37" s="17">
        <v>1</v>
      </c>
      <c r="MC37" s="17"/>
      <c r="MD37" s="17"/>
      <c r="ME37" s="17">
        <v>1</v>
      </c>
      <c r="MF37" s="17"/>
      <c r="MG37" s="17">
        <v>1</v>
      </c>
      <c r="MH37" s="17">
        <v>1</v>
      </c>
      <c r="MI37" s="17">
        <v>1</v>
      </c>
      <c r="MJ37" s="17"/>
      <c r="MK37" s="17">
        <v>1</v>
      </c>
      <c r="ML37" s="17">
        <v>1</v>
      </c>
      <c r="MM37" s="17">
        <v>1</v>
      </c>
      <c r="MN37" s="17">
        <v>1</v>
      </c>
      <c r="MO37" s="17"/>
      <c r="MP37" s="17">
        <v>1</v>
      </c>
      <c r="MQ37" s="17">
        <v>1</v>
      </c>
      <c r="MR37" s="17">
        <v>1</v>
      </c>
      <c r="MS37" s="17"/>
      <c r="MT37" s="17"/>
      <c r="MU37" s="17"/>
      <c r="MV37" s="17"/>
      <c r="MW37" s="17"/>
      <c r="MX37" s="17">
        <v>1</v>
      </c>
      <c r="MY37" s="17"/>
      <c r="MZ37" s="17"/>
      <c r="NA37" s="17"/>
      <c r="NB37" s="17">
        <v>1</v>
      </c>
      <c r="NC37" s="17"/>
      <c r="ND37" s="17"/>
      <c r="NE37" s="17"/>
      <c r="NF37" s="17"/>
      <c r="NG37" s="17"/>
      <c r="NH37" s="17">
        <v>1</v>
      </c>
      <c r="NI37" s="17">
        <v>1</v>
      </c>
      <c r="NJ37" s="17">
        <v>1</v>
      </c>
      <c r="NK37" s="17">
        <v>1</v>
      </c>
      <c r="NL37" s="17"/>
      <c r="NM37" s="17">
        <v>1</v>
      </c>
      <c r="NN37" s="17"/>
      <c r="NO37" s="17">
        <v>1</v>
      </c>
      <c r="NP37" s="17"/>
      <c r="NQ37" s="17"/>
      <c r="NR37" s="17">
        <v>1</v>
      </c>
      <c r="NS37" s="17">
        <v>1</v>
      </c>
      <c r="NT37" s="17"/>
      <c r="NU37" s="17"/>
      <c r="NV37" s="17">
        <v>1</v>
      </c>
      <c r="NW37" s="17"/>
      <c r="NX37" s="17">
        <v>1</v>
      </c>
      <c r="NY37" s="17"/>
      <c r="NZ37" s="17"/>
      <c r="OA37" s="17"/>
      <c r="OB37" s="17"/>
      <c r="OC37" s="17"/>
      <c r="OD37" s="17"/>
      <c r="OE37" s="17"/>
      <c r="OF37" s="17"/>
      <c r="OG37" s="17">
        <v>1</v>
      </c>
      <c r="OH37" s="17"/>
      <c r="OI37" s="17"/>
      <c r="OJ37" s="17">
        <v>1</v>
      </c>
      <c r="OK37" s="17"/>
      <c r="OL37" s="17"/>
      <c r="OM37" s="17"/>
      <c r="ON37" s="17">
        <v>1</v>
      </c>
      <c r="OO37" s="17"/>
      <c r="OP37" s="17">
        <v>1</v>
      </c>
      <c r="OQ37" s="17">
        <v>1</v>
      </c>
      <c r="OR37" s="17">
        <v>1</v>
      </c>
      <c r="OS37" s="17"/>
      <c r="OT37" s="17">
        <v>1</v>
      </c>
      <c r="OU37" s="17">
        <v>1</v>
      </c>
      <c r="OV37" s="17">
        <v>1</v>
      </c>
      <c r="OW37" s="17"/>
      <c r="OX37" s="17"/>
      <c r="OY37" s="17">
        <v>1</v>
      </c>
      <c r="OZ37" s="17"/>
      <c r="PA37" s="17">
        <v>1</v>
      </c>
      <c r="PB37" s="17"/>
      <c r="PC37" s="17"/>
      <c r="PD37" s="17"/>
      <c r="PE37" s="17">
        <v>1</v>
      </c>
      <c r="PF37" s="17">
        <v>1</v>
      </c>
      <c r="PG37" s="17">
        <v>1</v>
      </c>
      <c r="PH37" s="17">
        <v>1</v>
      </c>
      <c r="PI37" s="17">
        <v>1</v>
      </c>
      <c r="PJ37" s="17">
        <v>1</v>
      </c>
      <c r="PK37" s="17">
        <v>1</v>
      </c>
      <c r="PL37" s="17">
        <v>1</v>
      </c>
      <c r="PM37" s="17"/>
      <c r="PN37" s="17"/>
      <c r="PO37" s="17">
        <v>1</v>
      </c>
      <c r="PP37" s="17">
        <v>1</v>
      </c>
      <c r="PQ37" s="17">
        <v>1</v>
      </c>
      <c r="PR37" s="17"/>
      <c r="PS37" s="17"/>
      <c r="PT37" s="17"/>
      <c r="PU37" s="17"/>
      <c r="PV37" s="17"/>
      <c r="PW37" s="17" t="s">
        <v>506</v>
      </c>
      <c r="PX37" s="17" t="s">
        <v>506</v>
      </c>
      <c r="PY37" s="17"/>
      <c r="PZ37" s="17" t="s">
        <v>508</v>
      </c>
      <c r="QA37" s="17"/>
      <c r="QB37" s="17" t="s">
        <v>507</v>
      </c>
      <c r="QC37" s="17" t="s">
        <v>508</v>
      </c>
      <c r="QD37" s="17" t="s">
        <v>508</v>
      </c>
      <c r="QE37" s="17" t="s">
        <v>507</v>
      </c>
      <c r="QF37" s="17" t="s">
        <v>508</v>
      </c>
      <c r="QG37" s="17" t="s">
        <v>508</v>
      </c>
      <c r="QH37" s="17" t="s">
        <v>508</v>
      </c>
      <c r="QI37" s="17">
        <v>1</v>
      </c>
      <c r="QJ37" s="17">
        <v>0</v>
      </c>
      <c r="QK37" s="17">
        <v>0</v>
      </c>
      <c r="QL37" s="17">
        <v>1</v>
      </c>
      <c r="QM37" s="17">
        <v>0</v>
      </c>
      <c r="QN37" s="17">
        <v>1</v>
      </c>
      <c r="QO37" s="17">
        <v>1</v>
      </c>
      <c r="QP37" s="17">
        <v>1</v>
      </c>
      <c r="QQ37" s="17">
        <v>1</v>
      </c>
      <c r="QR37" s="17">
        <v>1</v>
      </c>
      <c r="QS37" s="17">
        <v>1</v>
      </c>
      <c r="QT37" s="17">
        <v>1</v>
      </c>
      <c r="QU37" s="17">
        <v>1</v>
      </c>
      <c r="QV37" s="17">
        <v>1</v>
      </c>
      <c r="QW37" s="17">
        <v>1</v>
      </c>
      <c r="QX37" s="17"/>
      <c r="QY37" s="17">
        <v>0</v>
      </c>
      <c r="QZ37" s="17">
        <v>1</v>
      </c>
      <c r="RA37" s="17">
        <v>0</v>
      </c>
      <c r="RB37" s="17">
        <v>1</v>
      </c>
      <c r="RC37" s="17">
        <v>1</v>
      </c>
      <c r="RD37" s="17">
        <v>0</v>
      </c>
      <c r="RE37" s="17"/>
      <c r="RF37" s="17">
        <v>0</v>
      </c>
      <c r="RG37" s="17">
        <v>1</v>
      </c>
      <c r="RH37" s="17">
        <v>0</v>
      </c>
      <c r="RI37" s="17">
        <v>0</v>
      </c>
      <c r="RJ37" s="17">
        <v>0</v>
      </c>
      <c r="RK37" s="17">
        <v>0</v>
      </c>
      <c r="RL37" s="17">
        <v>0</v>
      </c>
      <c r="RM37" s="17">
        <v>0</v>
      </c>
      <c r="RN37" s="17">
        <v>1</v>
      </c>
      <c r="RO37" s="17"/>
      <c r="RP37" s="17">
        <v>0</v>
      </c>
      <c r="RQ37" s="17">
        <v>0</v>
      </c>
      <c r="RR37" s="17">
        <v>0</v>
      </c>
      <c r="RS37" s="17">
        <v>1</v>
      </c>
      <c r="RT37" s="17">
        <v>0</v>
      </c>
      <c r="RU37" s="17">
        <v>1</v>
      </c>
      <c r="RV37" s="17"/>
      <c r="RW37" s="17">
        <v>1</v>
      </c>
      <c r="RX37" s="17">
        <v>1</v>
      </c>
      <c r="RY37" s="17">
        <v>1</v>
      </c>
      <c r="RZ37" s="17"/>
      <c r="SA37" s="17">
        <v>1</v>
      </c>
      <c r="SB37" s="17"/>
      <c r="SC37" s="17"/>
      <c r="SD37" s="17">
        <v>1</v>
      </c>
      <c r="SE37" s="17">
        <v>1</v>
      </c>
      <c r="SF37" s="17">
        <v>1</v>
      </c>
      <c r="SG37" s="17">
        <v>1</v>
      </c>
      <c r="SH37" s="17">
        <v>1</v>
      </c>
      <c r="SI37" s="17">
        <v>10037</v>
      </c>
      <c r="SJ37" s="19">
        <f t="shared" si="3"/>
        <v>164</v>
      </c>
      <c r="SK37" s="19">
        <f t="shared" si="4"/>
        <v>168</v>
      </c>
      <c r="SL37" s="19">
        <f t="shared" si="5"/>
        <v>4</v>
      </c>
      <c r="SM37" s="9">
        <v>10037</v>
      </c>
      <c r="SN37" s="9" t="s">
        <v>504</v>
      </c>
      <c r="SO37" s="10">
        <v>2</v>
      </c>
      <c r="SP37" s="9">
        <v>2</v>
      </c>
      <c r="SQ37" s="13" t="s">
        <v>517</v>
      </c>
      <c r="SR37" s="9">
        <v>18</v>
      </c>
      <c r="SS37" s="28">
        <v>59.5</v>
      </c>
      <c r="ST37" s="28">
        <v>16</v>
      </c>
      <c r="SU37" s="28">
        <v>169</v>
      </c>
      <c r="SV37" s="28">
        <v>46</v>
      </c>
      <c r="SW37" s="28">
        <v>5</v>
      </c>
      <c r="SX37" s="28">
        <v>14</v>
      </c>
      <c r="SY37" s="29">
        <v>33</v>
      </c>
      <c r="SZ37" s="30">
        <v>20</v>
      </c>
      <c r="TA37" s="31">
        <v>25</v>
      </c>
      <c r="TB37" s="31">
        <v>70</v>
      </c>
    </row>
    <row r="38" spans="1:522" ht="15.75" customHeight="1" x14ac:dyDescent="0.2">
      <c r="A38" s="17">
        <v>10039</v>
      </c>
      <c r="B38" s="17" t="s">
        <v>501</v>
      </c>
      <c r="C38" s="17" t="s">
        <v>502</v>
      </c>
      <c r="D38" s="17" t="s">
        <v>512</v>
      </c>
      <c r="E38" s="17" t="s">
        <v>504</v>
      </c>
      <c r="F38" s="18">
        <v>38035</v>
      </c>
      <c r="G38" s="18">
        <v>38562</v>
      </c>
      <c r="H38" s="14">
        <f t="shared" si="2"/>
        <v>17</v>
      </c>
      <c r="I38" s="17" t="s">
        <v>505</v>
      </c>
      <c r="J38" s="17">
        <v>0</v>
      </c>
      <c r="K38" s="17">
        <v>0</v>
      </c>
      <c r="L38" s="17">
        <v>0</v>
      </c>
      <c r="M38" s="17">
        <v>1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>
        <v>1</v>
      </c>
      <c r="AN38" s="17"/>
      <c r="AO38" s="17" t="s">
        <v>506</v>
      </c>
      <c r="AP38" s="17" t="s">
        <v>508</v>
      </c>
      <c r="AQ38" s="17">
        <v>2</v>
      </c>
      <c r="AR38" s="17"/>
      <c r="AS38" s="17"/>
      <c r="AT38" s="17"/>
      <c r="AU38" s="17"/>
      <c r="AV38" s="17"/>
      <c r="AW38" s="17"/>
      <c r="AX38" s="17"/>
      <c r="AY38" s="17">
        <v>2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>
        <v>1</v>
      </c>
      <c r="DM38" s="17"/>
      <c r="DN38" s="17"/>
      <c r="DO38" s="17"/>
      <c r="DP38" s="17"/>
      <c r="DQ38" s="17"/>
      <c r="DR38" s="17">
        <v>1</v>
      </c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>
        <v>1</v>
      </c>
      <c r="FS38" s="17"/>
      <c r="FT38" s="17"/>
      <c r="FU38" s="17"/>
      <c r="FV38" s="17">
        <v>1</v>
      </c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>
        <v>1</v>
      </c>
      <c r="JE38" s="17"/>
      <c r="JF38" s="17"/>
      <c r="JG38" s="17"/>
      <c r="JH38" s="17"/>
      <c r="JI38" s="17"/>
      <c r="JJ38" s="17"/>
      <c r="JK38" s="17">
        <v>1</v>
      </c>
      <c r="JL38" s="17"/>
      <c r="JM38" s="17"/>
      <c r="JN38" s="17"/>
      <c r="JO38" s="17"/>
      <c r="JP38" s="17"/>
      <c r="JQ38" s="17">
        <v>1</v>
      </c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>
        <v>1</v>
      </c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>
        <v>1</v>
      </c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 t="s">
        <v>506</v>
      </c>
      <c r="PX38" s="17" t="s">
        <v>506</v>
      </c>
      <c r="PY38" s="17" t="s">
        <v>506</v>
      </c>
      <c r="PZ38" s="17"/>
      <c r="QA38" s="17"/>
      <c r="QB38" s="17"/>
      <c r="QC38" s="17"/>
      <c r="QD38" s="17"/>
      <c r="QE38" s="17"/>
      <c r="QF38" s="17"/>
      <c r="QG38" s="17" t="s">
        <v>506</v>
      </c>
      <c r="QH38" s="17"/>
      <c r="QI38" s="17">
        <v>1</v>
      </c>
      <c r="QJ38" s="17">
        <v>0</v>
      </c>
      <c r="QK38" s="17">
        <v>0</v>
      </c>
      <c r="QL38" s="17">
        <v>1</v>
      </c>
      <c r="QM38" s="17">
        <v>0</v>
      </c>
      <c r="QN38" s="17">
        <v>1</v>
      </c>
      <c r="QO38" s="17">
        <v>1</v>
      </c>
      <c r="QP38" s="17">
        <v>1</v>
      </c>
      <c r="QQ38" s="17">
        <v>1</v>
      </c>
      <c r="QR38" s="17">
        <v>1</v>
      </c>
      <c r="QS38" s="17">
        <v>0</v>
      </c>
      <c r="QT38" s="17">
        <v>0</v>
      </c>
      <c r="QU38" s="17">
        <v>0</v>
      </c>
      <c r="QV38" s="17">
        <v>0</v>
      </c>
      <c r="QW38" s="17">
        <v>0</v>
      </c>
      <c r="QX38" s="17">
        <v>0</v>
      </c>
      <c r="QY38" s="17">
        <v>0</v>
      </c>
      <c r="QZ38" s="17">
        <v>1</v>
      </c>
      <c r="RA38" s="17">
        <v>0</v>
      </c>
      <c r="RB38" s="17">
        <v>1</v>
      </c>
      <c r="RC38" s="17">
        <v>1</v>
      </c>
      <c r="RD38" s="17"/>
      <c r="RE38" s="17">
        <v>1</v>
      </c>
      <c r="RF38" s="17">
        <v>0</v>
      </c>
      <c r="RG38" s="17">
        <v>0</v>
      </c>
      <c r="RH38" s="17">
        <v>0</v>
      </c>
      <c r="RI38" s="17">
        <v>0</v>
      </c>
      <c r="RJ38" s="17">
        <v>0</v>
      </c>
      <c r="RK38" s="17">
        <v>0</v>
      </c>
      <c r="RL38" s="17">
        <v>0</v>
      </c>
      <c r="RM38" s="17">
        <v>0</v>
      </c>
      <c r="RN38" s="17">
        <v>0</v>
      </c>
      <c r="RO38" s="17">
        <v>0</v>
      </c>
      <c r="RP38" s="17">
        <v>0</v>
      </c>
      <c r="RQ38" s="17">
        <v>0</v>
      </c>
      <c r="RR38" s="17">
        <v>0</v>
      </c>
      <c r="RS38" s="17">
        <v>0</v>
      </c>
      <c r="RT38" s="17">
        <v>0</v>
      </c>
      <c r="RU38" s="17">
        <v>0</v>
      </c>
      <c r="RV38" s="17">
        <v>0</v>
      </c>
      <c r="RW38" s="17">
        <v>0</v>
      </c>
      <c r="RX38" s="17">
        <v>1</v>
      </c>
      <c r="RY38" s="17">
        <v>0</v>
      </c>
      <c r="RZ38" s="17">
        <v>0</v>
      </c>
      <c r="SA38" s="17">
        <v>0</v>
      </c>
      <c r="SB38" s="17">
        <v>0</v>
      </c>
      <c r="SC38" s="17">
        <v>0</v>
      </c>
      <c r="SD38" s="17">
        <v>0</v>
      </c>
      <c r="SE38" s="17">
        <v>0</v>
      </c>
      <c r="SF38" s="17">
        <v>1</v>
      </c>
      <c r="SG38" s="17">
        <v>0</v>
      </c>
      <c r="SH38" s="17"/>
      <c r="SI38" s="17">
        <v>10039</v>
      </c>
      <c r="SJ38" s="19">
        <f t="shared" si="3"/>
        <v>9</v>
      </c>
      <c r="SK38" s="19">
        <f t="shared" si="4"/>
        <v>11</v>
      </c>
      <c r="SL38" s="19">
        <f t="shared" si="5"/>
        <v>2</v>
      </c>
      <c r="SM38" s="9">
        <v>10039</v>
      </c>
      <c r="SN38" s="9" t="s">
        <v>504</v>
      </c>
      <c r="SO38" s="10">
        <v>1</v>
      </c>
      <c r="SP38" s="9">
        <v>2</v>
      </c>
      <c r="SQ38" s="11" t="s">
        <v>518</v>
      </c>
      <c r="SR38" s="9">
        <v>18</v>
      </c>
      <c r="SS38" s="28" t="s">
        <v>563</v>
      </c>
      <c r="ST38" s="28">
        <v>17</v>
      </c>
      <c r="SU38" s="28">
        <v>12</v>
      </c>
      <c r="SV38" s="28">
        <v>0</v>
      </c>
      <c r="SW38" s="28">
        <v>2</v>
      </c>
      <c r="SX38" s="28">
        <v>7</v>
      </c>
      <c r="SY38" s="29">
        <v>17</v>
      </c>
      <c r="SZ38" s="30">
        <v>0</v>
      </c>
      <c r="TA38" s="31">
        <v>3</v>
      </c>
      <c r="TB38" s="31">
        <v>0</v>
      </c>
    </row>
    <row r="39" spans="1:522" ht="15.75" customHeight="1" x14ac:dyDescent="0.2">
      <c r="A39" s="17">
        <v>10040</v>
      </c>
      <c r="B39" s="17" t="s">
        <v>501</v>
      </c>
      <c r="C39" s="17" t="s">
        <v>502</v>
      </c>
      <c r="D39" s="17" t="s">
        <v>512</v>
      </c>
      <c r="E39" s="17" t="s">
        <v>509</v>
      </c>
      <c r="F39" s="18">
        <v>38028</v>
      </c>
      <c r="G39" s="18">
        <v>38539</v>
      </c>
      <c r="H39" s="14">
        <f t="shared" si="2"/>
        <v>16</v>
      </c>
      <c r="I39" s="17" t="s">
        <v>505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/>
      <c r="AP39" s="17" t="s">
        <v>506</v>
      </c>
      <c r="AQ39" s="17">
        <v>2</v>
      </c>
      <c r="AR39" s="17">
        <v>2</v>
      </c>
      <c r="AS39" s="17">
        <v>2</v>
      </c>
      <c r="AT39" s="17">
        <v>2</v>
      </c>
      <c r="AU39" s="17">
        <v>2</v>
      </c>
      <c r="AV39" s="17">
        <v>2</v>
      </c>
      <c r="AW39" s="17">
        <v>2</v>
      </c>
      <c r="AX39" s="17">
        <v>2</v>
      </c>
      <c r="AY39" s="17">
        <v>2</v>
      </c>
      <c r="AZ39" s="17">
        <v>2</v>
      </c>
      <c r="BA39" s="17">
        <v>2</v>
      </c>
      <c r="BB39" s="17">
        <v>2</v>
      </c>
      <c r="BC39" s="17">
        <v>1</v>
      </c>
      <c r="BD39" s="17">
        <v>2</v>
      </c>
      <c r="BE39" s="17">
        <v>1</v>
      </c>
      <c r="BF39" s="17">
        <v>2</v>
      </c>
      <c r="BG39" s="17"/>
      <c r="BH39" s="17">
        <v>1</v>
      </c>
      <c r="BI39" s="17">
        <v>2</v>
      </c>
      <c r="BJ39" s="17">
        <v>2</v>
      </c>
      <c r="BK39" s="17">
        <v>2</v>
      </c>
      <c r="BL39" s="17">
        <v>2</v>
      </c>
      <c r="BM39" s="17">
        <v>1</v>
      </c>
      <c r="BN39" s="17">
        <v>2</v>
      </c>
      <c r="BO39" s="17"/>
      <c r="BP39" s="17">
        <v>2</v>
      </c>
      <c r="BQ39" s="17">
        <v>1</v>
      </c>
      <c r="BR39" s="17">
        <v>1</v>
      </c>
      <c r="BS39" s="17">
        <v>2</v>
      </c>
      <c r="BT39" s="17">
        <v>2</v>
      </c>
      <c r="BU39" s="17"/>
      <c r="BV39" s="17">
        <v>2</v>
      </c>
      <c r="BW39" s="17">
        <v>2</v>
      </c>
      <c r="BX39" s="17">
        <v>2</v>
      </c>
      <c r="BY39" s="17">
        <v>2</v>
      </c>
      <c r="BZ39" s="17">
        <v>1</v>
      </c>
      <c r="CA39" s="17">
        <v>2</v>
      </c>
      <c r="CB39" s="17">
        <v>2</v>
      </c>
      <c r="CC39" s="17"/>
      <c r="CD39" s="17">
        <v>2</v>
      </c>
      <c r="CE39" s="17"/>
      <c r="CF39" s="17">
        <v>2</v>
      </c>
      <c r="CG39" s="17"/>
      <c r="CH39" s="17">
        <v>1</v>
      </c>
      <c r="CI39" s="17">
        <v>1</v>
      </c>
      <c r="CJ39" s="17">
        <v>1</v>
      </c>
      <c r="CK39" s="17"/>
      <c r="CL39" s="17"/>
      <c r="CM39" s="17">
        <v>2</v>
      </c>
      <c r="CN39" s="17"/>
      <c r="CO39" s="17"/>
      <c r="CP39" s="17">
        <v>2</v>
      </c>
      <c r="CQ39" s="17"/>
      <c r="CR39" s="17"/>
      <c r="CS39" s="17">
        <v>1</v>
      </c>
      <c r="CT39" s="17">
        <v>2</v>
      </c>
      <c r="CU39" s="17">
        <v>2</v>
      </c>
      <c r="CV39" s="17"/>
      <c r="CW39" s="17">
        <v>2</v>
      </c>
      <c r="CX39" s="17">
        <v>1</v>
      </c>
      <c r="CY39" s="17">
        <v>2</v>
      </c>
      <c r="CZ39" s="17">
        <v>2</v>
      </c>
      <c r="DA39" s="17">
        <v>1</v>
      </c>
      <c r="DB39" s="17">
        <v>1</v>
      </c>
      <c r="DC39" s="17">
        <v>1</v>
      </c>
      <c r="DD39" s="17">
        <v>2</v>
      </c>
      <c r="DE39" s="17">
        <v>2</v>
      </c>
      <c r="DF39" s="17">
        <v>2</v>
      </c>
      <c r="DG39" s="17"/>
      <c r="DH39" s="17"/>
      <c r="DI39" s="17"/>
      <c r="DJ39" s="17">
        <v>2</v>
      </c>
      <c r="DK39" s="17"/>
      <c r="DL39" s="17"/>
      <c r="DM39" s="17">
        <v>2</v>
      </c>
      <c r="DN39" s="17">
        <v>2</v>
      </c>
      <c r="DO39" s="17">
        <v>2</v>
      </c>
      <c r="DP39" s="17">
        <v>2</v>
      </c>
      <c r="DQ39" s="17">
        <v>2</v>
      </c>
      <c r="DR39" s="17"/>
      <c r="DS39" s="17">
        <v>2</v>
      </c>
      <c r="DT39" s="17">
        <v>1</v>
      </c>
      <c r="DU39" s="17">
        <v>2</v>
      </c>
      <c r="DV39" s="17">
        <v>2</v>
      </c>
      <c r="DW39" s="17">
        <v>2</v>
      </c>
      <c r="DX39" s="17">
        <v>2</v>
      </c>
      <c r="DY39" s="17">
        <v>2</v>
      </c>
      <c r="DZ39" s="17">
        <v>1</v>
      </c>
      <c r="EA39" s="17">
        <v>2</v>
      </c>
      <c r="EB39" s="17">
        <v>2</v>
      </c>
      <c r="EC39" s="17">
        <v>2</v>
      </c>
      <c r="ED39" s="17">
        <v>2</v>
      </c>
      <c r="EE39" s="17"/>
      <c r="EF39" s="17">
        <v>2</v>
      </c>
      <c r="EG39" s="17">
        <v>2</v>
      </c>
      <c r="EH39" s="17">
        <v>2</v>
      </c>
      <c r="EI39" s="17">
        <v>1</v>
      </c>
      <c r="EJ39" s="17">
        <v>1</v>
      </c>
      <c r="EK39" s="17"/>
      <c r="EL39" s="17">
        <v>1</v>
      </c>
      <c r="EM39" s="17">
        <v>2</v>
      </c>
      <c r="EN39" s="17">
        <v>1</v>
      </c>
      <c r="EO39" s="17">
        <v>2</v>
      </c>
      <c r="EP39" s="17">
        <v>1</v>
      </c>
      <c r="EQ39" s="17">
        <v>1</v>
      </c>
      <c r="ER39" s="17">
        <v>1</v>
      </c>
      <c r="ES39" s="17">
        <v>1</v>
      </c>
      <c r="ET39" s="17">
        <v>2</v>
      </c>
      <c r="EU39" s="17">
        <v>2</v>
      </c>
      <c r="EV39" s="17">
        <v>2</v>
      </c>
      <c r="EW39" s="17"/>
      <c r="EX39" s="17">
        <v>2</v>
      </c>
      <c r="EY39" s="17">
        <v>1</v>
      </c>
      <c r="EZ39" s="17">
        <v>1</v>
      </c>
      <c r="FA39" s="17">
        <v>2</v>
      </c>
      <c r="FB39" s="17">
        <v>1</v>
      </c>
      <c r="FC39" s="17">
        <v>2</v>
      </c>
      <c r="FD39" s="17">
        <v>2</v>
      </c>
      <c r="FE39" s="17">
        <v>2</v>
      </c>
      <c r="FF39" s="17">
        <v>2</v>
      </c>
      <c r="FG39" s="17">
        <v>2</v>
      </c>
      <c r="FH39" s="17">
        <v>1</v>
      </c>
      <c r="FI39" s="17">
        <v>2</v>
      </c>
      <c r="FJ39" s="17">
        <v>1</v>
      </c>
      <c r="FK39" s="17">
        <v>2</v>
      </c>
      <c r="FL39" s="17">
        <v>1</v>
      </c>
      <c r="FM39" s="17">
        <v>1</v>
      </c>
      <c r="FN39" s="17">
        <v>2</v>
      </c>
      <c r="FO39" s="17">
        <v>2</v>
      </c>
      <c r="FP39" s="17">
        <v>1</v>
      </c>
      <c r="FQ39" s="17">
        <v>2</v>
      </c>
      <c r="FR39" s="17">
        <v>1</v>
      </c>
      <c r="FS39" s="17">
        <v>2</v>
      </c>
      <c r="FT39" s="17">
        <v>1</v>
      </c>
      <c r="FU39" s="17">
        <v>1</v>
      </c>
      <c r="FV39" s="17">
        <v>2</v>
      </c>
      <c r="FW39" s="17">
        <v>1</v>
      </c>
      <c r="FX39" s="17">
        <v>1</v>
      </c>
      <c r="FY39" s="17">
        <v>1</v>
      </c>
      <c r="FZ39" s="17">
        <v>2</v>
      </c>
      <c r="GA39" s="17">
        <v>1</v>
      </c>
      <c r="GB39" s="17">
        <v>1</v>
      </c>
      <c r="GC39" s="17">
        <v>2</v>
      </c>
      <c r="GD39" s="17">
        <v>1</v>
      </c>
      <c r="GE39" s="17">
        <v>1</v>
      </c>
      <c r="GF39" s="17">
        <v>1</v>
      </c>
      <c r="GG39" s="17">
        <v>1</v>
      </c>
      <c r="GH39" s="17">
        <v>1</v>
      </c>
      <c r="GI39" s="17">
        <v>1</v>
      </c>
      <c r="GJ39" s="17"/>
      <c r="GK39" s="17">
        <v>1</v>
      </c>
      <c r="GL39" s="17"/>
      <c r="GM39" s="17"/>
      <c r="GN39" s="17">
        <v>1</v>
      </c>
      <c r="GO39" s="17"/>
      <c r="GP39" s="17">
        <v>1</v>
      </c>
      <c r="GQ39" s="17">
        <v>1</v>
      </c>
      <c r="GR39" s="17">
        <v>1</v>
      </c>
      <c r="GS39" s="17"/>
      <c r="GT39" s="17">
        <v>1</v>
      </c>
      <c r="GU39" s="17"/>
      <c r="GV39" s="17"/>
      <c r="GW39" s="17">
        <v>1</v>
      </c>
      <c r="GX39" s="17"/>
      <c r="GY39" s="17">
        <v>2</v>
      </c>
      <c r="GZ39" s="17"/>
      <c r="HA39" s="17">
        <v>1</v>
      </c>
      <c r="HB39" s="17">
        <v>1</v>
      </c>
      <c r="HC39" s="17">
        <v>1</v>
      </c>
      <c r="HD39" s="17"/>
      <c r="HE39" s="17">
        <v>1</v>
      </c>
      <c r="HF39" s="17">
        <v>1</v>
      </c>
      <c r="HG39" s="17">
        <v>2</v>
      </c>
      <c r="HH39" s="17">
        <v>1</v>
      </c>
      <c r="HI39" s="17">
        <v>2</v>
      </c>
      <c r="HJ39" s="17">
        <v>2</v>
      </c>
      <c r="HK39" s="17">
        <v>1</v>
      </c>
      <c r="HL39" s="17">
        <v>1</v>
      </c>
      <c r="HM39" s="17">
        <v>1</v>
      </c>
      <c r="HN39" s="17">
        <v>1</v>
      </c>
      <c r="HO39" s="17">
        <v>1</v>
      </c>
      <c r="HP39" s="17">
        <v>1</v>
      </c>
      <c r="HQ39" s="17">
        <v>1</v>
      </c>
      <c r="HR39" s="17">
        <v>1</v>
      </c>
      <c r="HS39" s="17"/>
      <c r="HT39" s="17">
        <v>1</v>
      </c>
      <c r="HU39" s="17">
        <v>1</v>
      </c>
      <c r="HV39" s="17"/>
      <c r="HW39" s="17">
        <v>1</v>
      </c>
      <c r="HX39" s="17">
        <v>1</v>
      </c>
      <c r="HY39" s="17">
        <v>1</v>
      </c>
      <c r="HZ39" s="17">
        <v>1</v>
      </c>
      <c r="IA39" s="17">
        <v>1</v>
      </c>
      <c r="IB39" s="17">
        <v>1</v>
      </c>
      <c r="IC39" s="17">
        <v>1</v>
      </c>
      <c r="ID39" s="17"/>
      <c r="IE39" s="17"/>
      <c r="IF39" s="17">
        <v>1</v>
      </c>
      <c r="IG39" s="17">
        <v>2</v>
      </c>
      <c r="IH39" s="17">
        <v>2</v>
      </c>
      <c r="II39" s="17">
        <v>1</v>
      </c>
      <c r="IJ39" s="17">
        <v>1</v>
      </c>
      <c r="IK39" s="17">
        <v>1</v>
      </c>
      <c r="IL39" s="17">
        <v>1</v>
      </c>
      <c r="IM39" s="17"/>
      <c r="IN39" s="17">
        <v>1</v>
      </c>
      <c r="IO39" s="17">
        <v>1</v>
      </c>
      <c r="IP39" s="17">
        <v>1</v>
      </c>
      <c r="IQ39" s="17">
        <v>1</v>
      </c>
      <c r="IR39" s="17">
        <v>1</v>
      </c>
      <c r="IS39" s="17">
        <v>1</v>
      </c>
      <c r="IT39" s="17">
        <v>1</v>
      </c>
      <c r="IU39" s="17"/>
      <c r="IV39" s="17"/>
      <c r="IW39" s="17">
        <v>1</v>
      </c>
      <c r="IX39" s="17">
        <v>1</v>
      </c>
      <c r="IY39" s="17">
        <v>1</v>
      </c>
      <c r="IZ39" s="17">
        <v>1</v>
      </c>
      <c r="JA39" s="17"/>
      <c r="JB39" s="17">
        <v>1</v>
      </c>
      <c r="JC39" s="17"/>
      <c r="JD39" s="17">
        <v>1</v>
      </c>
      <c r="JE39" s="17">
        <v>2</v>
      </c>
      <c r="JF39" s="17">
        <v>1</v>
      </c>
      <c r="JG39" s="17">
        <v>1</v>
      </c>
      <c r="JH39" s="17">
        <v>1</v>
      </c>
      <c r="JI39" s="17">
        <v>1</v>
      </c>
      <c r="JJ39" s="17"/>
      <c r="JK39" s="17">
        <v>2</v>
      </c>
      <c r="JL39" s="17">
        <v>2</v>
      </c>
      <c r="JM39" s="17">
        <v>2</v>
      </c>
      <c r="JN39" s="17">
        <v>2</v>
      </c>
      <c r="JO39" s="17"/>
      <c r="JP39" s="17"/>
      <c r="JQ39" s="17">
        <v>2</v>
      </c>
      <c r="JR39" s="17">
        <v>1</v>
      </c>
      <c r="JS39" s="17">
        <v>2</v>
      </c>
      <c r="JT39" s="17">
        <v>1</v>
      </c>
      <c r="JU39" s="17"/>
      <c r="JV39" s="17"/>
      <c r="JW39" s="17"/>
      <c r="JX39" s="17">
        <v>2</v>
      </c>
      <c r="JY39" s="17">
        <v>1</v>
      </c>
      <c r="JZ39" s="17">
        <v>2</v>
      </c>
      <c r="KA39" s="17">
        <v>1</v>
      </c>
      <c r="KB39" s="17">
        <v>1</v>
      </c>
      <c r="KC39" s="17">
        <v>2</v>
      </c>
      <c r="KD39" s="17">
        <v>2</v>
      </c>
      <c r="KE39" s="17">
        <v>1</v>
      </c>
      <c r="KF39" s="17">
        <v>2</v>
      </c>
      <c r="KG39" s="17">
        <v>2</v>
      </c>
      <c r="KH39" s="17">
        <v>2</v>
      </c>
      <c r="KI39" s="17"/>
      <c r="KJ39" s="17">
        <v>2</v>
      </c>
      <c r="KK39" s="17">
        <v>2</v>
      </c>
      <c r="KL39" s="17">
        <v>1</v>
      </c>
      <c r="KM39" s="17">
        <v>2</v>
      </c>
      <c r="KN39" s="17">
        <v>1</v>
      </c>
      <c r="KO39" s="17">
        <v>1</v>
      </c>
      <c r="KP39" s="17">
        <v>2</v>
      </c>
      <c r="KQ39" s="17"/>
      <c r="KR39" s="17">
        <v>1</v>
      </c>
      <c r="KS39" s="17">
        <v>1</v>
      </c>
      <c r="KT39" s="17">
        <v>1</v>
      </c>
      <c r="KU39" s="17"/>
      <c r="KV39" s="17">
        <v>1</v>
      </c>
      <c r="KW39" s="17">
        <v>1</v>
      </c>
      <c r="KX39" s="17">
        <v>1</v>
      </c>
      <c r="KY39" s="17">
        <v>1</v>
      </c>
      <c r="KZ39" s="17">
        <v>1</v>
      </c>
      <c r="LA39" s="17">
        <v>1</v>
      </c>
      <c r="LB39" s="17">
        <v>1</v>
      </c>
      <c r="LC39" s="17">
        <v>1</v>
      </c>
      <c r="LD39" s="17">
        <v>1</v>
      </c>
      <c r="LE39" s="17">
        <v>1</v>
      </c>
      <c r="LF39" s="17">
        <v>1</v>
      </c>
      <c r="LG39" s="17">
        <v>1</v>
      </c>
      <c r="LH39" s="17">
        <v>1</v>
      </c>
      <c r="LI39" s="17">
        <v>1</v>
      </c>
      <c r="LJ39" s="17"/>
      <c r="LK39" s="17"/>
      <c r="LL39" s="17">
        <v>2</v>
      </c>
      <c r="LM39" s="17">
        <v>1</v>
      </c>
      <c r="LN39" s="17">
        <v>1</v>
      </c>
      <c r="LO39" s="17"/>
      <c r="LP39" s="17">
        <v>2</v>
      </c>
      <c r="LQ39" s="17">
        <v>1</v>
      </c>
      <c r="LR39" s="17">
        <v>1</v>
      </c>
      <c r="LS39" s="17">
        <v>1</v>
      </c>
      <c r="LT39" s="17">
        <v>2</v>
      </c>
      <c r="LU39" s="17">
        <v>1</v>
      </c>
      <c r="LV39" s="17">
        <v>1</v>
      </c>
      <c r="LW39" s="17">
        <v>1</v>
      </c>
      <c r="LX39" s="17">
        <v>2</v>
      </c>
      <c r="LY39" s="17">
        <v>1</v>
      </c>
      <c r="LZ39" s="17">
        <v>1</v>
      </c>
      <c r="MA39" s="17">
        <v>1</v>
      </c>
      <c r="MB39" s="17">
        <v>1</v>
      </c>
      <c r="MC39" s="17">
        <v>1</v>
      </c>
      <c r="MD39" s="17">
        <v>1</v>
      </c>
      <c r="ME39" s="17">
        <v>2</v>
      </c>
      <c r="MF39" s="17">
        <v>1</v>
      </c>
      <c r="MG39" s="17">
        <v>1</v>
      </c>
      <c r="MH39" s="17">
        <v>1</v>
      </c>
      <c r="MI39" s="17">
        <v>1</v>
      </c>
      <c r="MJ39" s="17">
        <v>1</v>
      </c>
      <c r="MK39" s="17"/>
      <c r="ML39" s="17">
        <v>1</v>
      </c>
      <c r="MM39" s="17">
        <v>1</v>
      </c>
      <c r="MN39" s="17">
        <v>2</v>
      </c>
      <c r="MO39" s="17"/>
      <c r="MP39" s="17">
        <v>1</v>
      </c>
      <c r="MQ39" s="17">
        <v>1</v>
      </c>
      <c r="MR39" s="17">
        <v>1</v>
      </c>
      <c r="MS39" s="17">
        <v>1</v>
      </c>
      <c r="MT39" s="17"/>
      <c r="MU39" s="17"/>
      <c r="MV39" s="17">
        <v>2</v>
      </c>
      <c r="MW39" s="17"/>
      <c r="MX39" s="17"/>
      <c r="MY39" s="17"/>
      <c r="MZ39" s="17"/>
      <c r="NA39" s="17"/>
      <c r="NB39" s="17">
        <v>1</v>
      </c>
      <c r="NC39" s="17">
        <v>1</v>
      </c>
      <c r="ND39" s="17">
        <v>1</v>
      </c>
      <c r="NE39" s="17">
        <v>2</v>
      </c>
      <c r="NF39" s="17">
        <v>1</v>
      </c>
      <c r="NG39" s="17"/>
      <c r="NH39" s="17">
        <v>1</v>
      </c>
      <c r="NI39" s="17">
        <v>1</v>
      </c>
      <c r="NJ39" s="17">
        <v>2</v>
      </c>
      <c r="NK39" s="17"/>
      <c r="NL39" s="17">
        <v>1</v>
      </c>
      <c r="NM39" s="17">
        <v>1</v>
      </c>
      <c r="NN39" s="17">
        <v>1</v>
      </c>
      <c r="NO39" s="17">
        <v>1</v>
      </c>
      <c r="NP39" s="17">
        <v>1</v>
      </c>
      <c r="NQ39" s="17">
        <v>1</v>
      </c>
      <c r="NR39" s="17">
        <v>1</v>
      </c>
      <c r="NS39" s="17">
        <v>2</v>
      </c>
      <c r="NT39" s="17">
        <v>2</v>
      </c>
      <c r="NU39" s="17">
        <v>1</v>
      </c>
      <c r="NV39" s="17">
        <v>2</v>
      </c>
      <c r="NW39" s="17">
        <v>2</v>
      </c>
      <c r="NX39" s="17"/>
      <c r="NY39" s="17"/>
      <c r="NZ39" s="17"/>
      <c r="OA39" s="17"/>
      <c r="OB39" s="17"/>
      <c r="OC39" s="17">
        <v>1</v>
      </c>
      <c r="OD39" s="17"/>
      <c r="OE39" s="17"/>
      <c r="OF39" s="17"/>
      <c r="OG39" s="17">
        <v>1</v>
      </c>
      <c r="OH39" s="17">
        <v>1</v>
      </c>
      <c r="OI39" s="17">
        <v>1</v>
      </c>
      <c r="OJ39" s="17">
        <v>1</v>
      </c>
      <c r="OK39" s="17">
        <v>1</v>
      </c>
      <c r="OL39" s="17">
        <v>1</v>
      </c>
      <c r="OM39" s="17"/>
      <c r="ON39" s="17">
        <v>1</v>
      </c>
      <c r="OO39" s="17"/>
      <c r="OP39" s="17">
        <v>1</v>
      </c>
      <c r="OQ39" s="17">
        <v>1</v>
      </c>
      <c r="OR39" s="17">
        <v>1</v>
      </c>
      <c r="OS39" s="17">
        <v>1</v>
      </c>
      <c r="OT39" s="17">
        <v>2</v>
      </c>
      <c r="OU39" s="17">
        <v>2</v>
      </c>
      <c r="OV39" s="17">
        <v>2</v>
      </c>
      <c r="OW39" s="17"/>
      <c r="OX39" s="17">
        <v>1</v>
      </c>
      <c r="OY39" s="17">
        <v>2</v>
      </c>
      <c r="OZ39" s="17"/>
      <c r="PA39" s="17">
        <v>2</v>
      </c>
      <c r="PB39" s="17">
        <v>1</v>
      </c>
      <c r="PC39" s="17"/>
      <c r="PD39" s="17"/>
      <c r="PE39" s="17">
        <v>1</v>
      </c>
      <c r="PF39" s="17">
        <v>2</v>
      </c>
      <c r="PG39" s="17">
        <v>1</v>
      </c>
      <c r="PH39" s="17">
        <v>1</v>
      </c>
      <c r="PI39" s="17">
        <v>2</v>
      </c>
      <c r="PJ39" s="17">
        <v>1</v>
      </c>
      <c r="PK39" s="17">
        <v>2</v>
      </c>
      <c r="PL39" s="17"/>
      <c r="PM39" s="17">
        <v>1</v>
      </c>
      <c r="PN39" s="17">
        <v>2</v>
      </c>
      <c r="PO39" s="17"/>
      <c r="PP39" s="17">
        <v>1</v>
      </c>
      <c r="PQ39" s="17">
        <v>1</v>
      </c>
      <c r="PR39" s="17">
        <v>1</v>
      </c>
      <c r="PS39" s="17">
        <v>1</v>
      </c>
      <c r="PT39" s="17"/>
      <c r="PU39" s="17"/>
      <c r="PV39" s="17"/>
      <c r="PW39" s="17" t="s">
        <v>506</v>
      </c>
      <c r="PX39" s="17"/>
      <c r="PY39" s="17" t="s">
        <v>506</v>
      </c>
      <c r="PZ39" s="17"/>
      <c r="QA39" s="17"/>
      <c r="QB39" s="17"/>
      <c r="QC39" s="17"/>
      <c r="QD39" s="17" t="s">
        <v>507</v>
      </c>
      <c r="QE39" s="17" t="s">
        <v>507</v>
      </c>
      <c r="QF39" s="17"/>
      <c r="QG39" s="17"/>
      <c r="QH39" s="17" t="s">
        <v>507</v>
      </c>
      <c r="QI39" s="17">
        <v>1</v>
      </c>
      <c r="QJ39" s="17"/>
      <c r="QK39" s="17">
        <v>1</v>
      </c>
      <c r="QL39" s="17">
        <v>1</v>
      </c>
      <c r="QM39" s="17">
        <v>1</v>
      </c>
      <c r="QN39" s="17">
        <v>1</v>
      </c>
      <c r="QO39" s="17">
        <v>1</v>
      </c>
      <c r="QP39" s="17">
        <v>1</v>
      </c>
      <c r="QQ39" s="17">
        <v>1</v>
      </c>
      <c r="QR39" s="17">
        <v>1</v>
      </c>
      <c r="QS39" s="17">
        <v>1</v>
      </c>
      <c r="QT39" s="17">
        <v>1</v>
      </c>
      <c r="QU39" s="17">
        <v>1</v>
      </c>
      <c r="QV39" s="17">
        <v>1</v>
      </c>
      <c r="QW39" s="17">
        <v>1</v>
      </c>
      <c r="QX39" s="17">
        <v>1</v>
      </c>
      <c r="QY39" s="17">
        <v>1</v>
      </c>
      <c r="QZ39" s="17">
        <v>1</v>
      </c>
      <c r="RA39" s="17">
        <v>1</v>
      </c>
      <c r="RB39" s="17">
        <v>1</v>
      </c>
      <c r="RC39" s="17">
        <v>1</v>
      </c>
      <c r="RD39" s="17">
        <v>1</v>
      </c>
      <c r="RE39" s="17">
        <v>1</v>
      </c>
      <c r="RF39" s="17">
        <v>1</v>
      </c>
      <c r="RG39" s="17">
        <v>1</v>
      </c>
      <c r="RH39" s="17">
        <v>0</v>
      </c>
      <c r="RI39" s="17">
        <v>0</v>
      </c>
      <c r="RJ39" s="17">
        <v>0</v>
      </c>
      <c r="RK39" s="17">
        <v>1</v>
      </c>
      <c r="RL39" s="17">
        <v>0</v>
      </c>
      <c r="RM39" s="17">
        <v>1</v>
      </c>
      <c r="RN39" s="17">
        <v>1</v>
      </c>
      <c r="RO39" s="17">
        <v>1</v>
      </c>
      <c r="RP39" s="17">
        <v>0</v>
      </c>
      <c r="RQ39" s="17">
        <v>1</v>
      </c>
      <c r="RR39" s="17">
        <v>0</v>
      </c>
      <c r="RS39" s="17">
        <v>0</v>
      </c>
      <c r="RT39" s="17">
        <v>0</v>
      </c>
      <c r="RU39" s="17">
        <v>1</v>
      </c>
      <c r="RV39" s="17">
        <v>0</v>
      </c>
      <c r="RW39" s="17">
        <v>0</v>
      </c>
      <c r="RX39" s="17">
        <v>1</v>
      </c>
      <c r="RY39" s="17">
        <v>1</v>
      </c>
      <c r="RZ39" s="17">
        <v>1</v>
      </c>
      <c r="SA39" s="17">
        <v>1</v>
      </c>
      <c r="SB39" s="17">
        <v>1</v>
      </c>
      <c r="SC39" s="17">
        <v>1</v>
      </c>
      <c r="SD39" s="17"/>
      <c r="SE39" s="17">
        <v>1</v>
      </c>
      <c r="SF39" s="17">
        <v>1</v>
      </c>
      <c r="SG39" s="17">
        <v>1</v>
      </c>
      <c r="SH39" s="17"/>
      <c r="SI39" s="17">
        <v>10040</v>
      </c>
      <c r="SJ39" s="19">
        <f t="shared" si="3"/>
        <v>187</v>
      </c>
      <c r="SK39" s="19">
        <f t="shared" si="4"/>
        <v>313</v>
      </c>
      <c r="SL39" s="19">
        <f t="shared" si="5"/>
        <v>126</v>
      </c>
      <c r="SM39" s="9">
        <v>10040</v>
      </c>
      <c r="SN39" s="9" t="s">
        <v>509</v>
      </c>
      <c r="SO39" s="10">
        <v>1</v>
      </c>
      <c r="SP39" s="9">
        <v>2</v>
      </c>
      <c r="SQ39" s="11" t="s">
        <v>517</v>
      </c>
      <c r="SR39" s="9">
        <v>18</v>
      </c>
      <c r="SS39" s="28">
        <v>61</v>
      </c>
      <c r="ST39" s="28">
        <v>16</v>
      </c>
      <c r="SU39" s="28">
        <v>325</v>
      </c>
      <c r="SV39" s="28">
        <v>89</v>
      </c>
      <c r="SW39" s="28">
        <v>137</v>
      </c>
      <c r="SX39" s="28">
        <v>88</v>
      </c>
      <c r="SY39" s="29">
        <v>51</v>
      </c>
      <c r="SZ39" s="30">
        <v>78</v>
      </c>
      <c r="TA39" s="31">
        <v>28</v>
      </c>
      <c r="TB39" s="31">
        <v>99</v>
      </c>
    </row>
    <row r="40" spans="1:522" ht="15.75" customHeight="1" x14ac:dyDescent="0.2">
      <c r="A40" s="17">
        <v>10041</v>
      </c>
      <c r="B40" s="17" t="s">
        <v>501</v>
      </c>
      <c r="C40" s="17" t="s">
        <v>502</v>
      </c>
      <c r="D40" s="17" t="s">
        <v>512</v>
      </c>
      <c r="E40" s="17" t="s">
        <v>509</v>
      </c>
      <c r="F40" s="18">
        <v>38031</v>
      </c>
      <c r="G40" s="18">
        <v>38539</v>
      </c>
      <c r="H40" s="14">
        <f t="shared" si="2"/>
        <v>16</v>
      </c>
      <c r="I40" s="17" t="s">
        <v>505</v>
      </c>
      <c r="J40" s="17">
        <v>1</v>
      </c>
      <c r="K40" s="17">
        <v>1</v>
      </c>
      <c r="L40" s="17">
        <v>1</v>
      </c>
      <c r="M40" s="17"/>
      <c r="N40" s="17">
        <v>1</v>
      </c>
      <c r="O40" s="17">
        <v>1</v>
      </c>
      <c r="P40" s="17"/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/>
      <c r="AG40" s="17">
        <v>1</v>
      </c>
      <c r="AH40" s="17">
        <v>1</v>
      </c>
      <c r="AI40" s="17">
        <v>1</v>
      </c>
      <c r="AJ40" s="17"/>
      <c r="AK40" s="17">
        <v>1</v>
      </c>
      <c r="AL40" s="17">
        <v>1</v>
      </c>
      <c r="AM40" s="17"/>
      <c r="AN40" s="17">
        <v>1</v>
      </c>
      <c r="AO40" s="17" t="s">
        <v>506</v>
      </c>
      <c r="AP40" s="17"/>
      <c r="AQ40" s="17">
        <v>1</v>
      </c>
      <c r="AR40" s="17"/>
      <c r="AS40" s="17">
        <v>2</v>
      </c>
      <c r="AT40" s="17">
        <v>1</v>
      </c>
      <c r="AU40" s="17">
        <v>2</v>
      </c>
      <c r="AV40" s="17">
        <v>2</v>
      </c>
      <c r="AW40" s="17">
        <v>2</v>
      </c>
      <c r="AX40" s="17">
        <v>1</v>
      </c>
      <c r="AY40" s="17">
        <v>2</v>
      </c>
      <c r="AZ40" s="17">
        <v>1</v>
      </c>
      <c r="BA40" s="17">
        <v>2</v>
      </c>
      <c r="BB40" s="17"/>
      <c r="BC40" s="17">
        <v>1</v>
      </c>
      <c r="BD40" s="17"/>
      <c r="BE40" s="17"/>
      <c r="BF40" s="17">
        <v>2</v>
      </c>
      <c r="BG40" s="17"/>
      <c r="BH40" s="17">
        <v>1</v>
      </c>
      <c r="BI40" s="17">
        <v>1</v>
      </c>
      <c r="BJ40" s="17">
        <v>1</v>
      </c>
      <c r="BK40" s="17"/>
      <c r="BL40" s="17">
        <v>1</v>
      </c>
      <c r="BM40" s="17"/>
      <c r="BN40" s="17">
        <v>2</v>
      </c>
      <c r="BO40" s="17"/>
      <c r="BP40" s="17"/>
      <c r="BQ40" s="17">
        <v>1</v>
      </c>
      <c r="BR40" s="17">
        <v>1</v>
      </c>
      <c r="BS40" s="17"/>
      <c r="BT40" s="17"/>
      <c r="BU40" s="17"/>
      <c r="BV40" s="17"/>
      <c r="BW40" s="17">
        <v>2</v>
      </c>
      <c r="BX40" s="17"/>
      <c r="BY40" s="17">
        <v>1</v>
      </c>
      <c r="BZ40" s="17"/>
      <c r="CA40" s="17"/>
      <c r="CB40" s="17"/>
      <c r="CC40" s="17"/>
      <c r="CD40" s="17"/>
      <c r="CE40" s="17"/>
      <c r="CF40" s="17">
        <v>2</v>
      </c>
      <c r="CG40" s="17"/>
      <c r="CH40" s="17"/>
      <c r="CI40" s="17"/>
      <c r="CJ40" s="17"/>
      <c r="CK40" s="17"/>
      <c r="CL40" s="17"/>
      <c r="CM40" s="17"/>
      <c r="CN40" s="17"/>
      <c r="CO40" s="17"/>
      <c r="CP40" s="17">
        <v>2</v>
      </c>
      <c r="CQ40" s="17"/>
      <c r="CR40" s="17">
        <v>1</v>
      </c>
      <c r="CS40" s="17">
        <v>1</v>
      </c>
      <c r="CT40" s="17"/>
      <c r="CU40" s="17">
        <v>1</v>
      </c>
      <c r="CV40" s="17">
        <v>2</v>
      </c>
      <c r="CW40" s="17">
        <v>1</v>
      </c>
      <c r="CX40" s="17"/>
      <c r="CY40" s="17">
        <v>2</v>
      </c>
      <c r="CZ40" s="17">
        <v>2</v>
      </c>
      <c r="DA40" s="17"/>
      <c r="DB40" s="17"/>
      <c r="DC40" s="17">
        <v>1</v>
      </c>
      <c r="DD40" s="17"/>
      <c r="DE40" s="17">
        <v>2</v>
      </c>
      <c r="DF40" s="17">
        <v>1</v>
      </c>
      <c r="DG40" s="17"/>
      <c r="DH40" s="17"/>
      <c r="DI40" s="17"/>
      <c r="DJ40" s="17">
        <v>1</v>
      </c>
      <c r="DK40" s="17"/>
      <c r="DL40" s="17">
        <v>1</v>
      </c>
      <c r="DM40" s="17">
        <v>1</v>
      </c>
      <c r="DN40" s="17"/>
      <c r="DO40" s="17"/>
      <c r="DP40" s="17"/>
      <c r="DQ40" s="17">
        <v>2</v>
      </c>
      <c r="DR40" s="17"/>
      <c r="DS40" s="17"/>
      <c r="DT40" s="17"/>
      <c r="DU40" s="17"/>
      <c r="DV40" s="17"/>
      <c r="DW40" s="17">
        <v>2</v>
      </c>
      <c r="DX40" s="17"/>
      <c r="DY40" s="17">
        <v>1</v>
      </c>
      <c r="DZ40" s="17"/>
      <c r="EA40" s="17"/>
      <c r="EB40" s="17"/>
      <c r="EC40" s="17">
        <v>2</v>
      </c>
      <c r="ED40" s="17"/>
      <c r="EE40" s="17"/>
      <c r="EF40" s="17"/>
      <c r="EG40" s="17"/>
      <c r="EH40" s="17"/>
      <c r="EI40" s="17">
        <v>1</v>
      </c>
      <c r="EJ40" s="17"/>
      <c r="EK40" s="17"/>
      <c r="EL40" s="17"/>
      <c r="EM40" s="17">
        <v>1</v>
      </c>
      <c r="EN40" s="17">
        <v>1</v>
      </c>
      <c r="EO40" s="17">
        <v>2</v>
      </c>
      <c r="EP40" s="17">
        <v>2</v>
      </c>
      <c r="EQ40" s="17">
        <v>1</v>
      </c>
      <c r="ER40" s="17"/>
      <c r="ES40" s="17">
        <v>1</v>
      </c>
      <c r="ET40" s="17">
        <v>2</v>
      </c>
      <c r="EU40" s="17">
        <v>1</v>
      </c>
      <c r="EV40" s="17">
        <v>2</v>
      </c>
      <c r="EW40" s="17">
        <v>1</v>
      </c>
      <c r="EX40" s="17">
        <v>2</v>
      </c>
      <c r="EY40" s="17"/>
      <c r="EZ40" s="17"/>
      <c r="FA40" s="17"/>
      <c r="FB40" s="17">
        <v>1</v>
      </c>
      <c r="FC40" s="17"/>
      <c r="FD40" s="17"/>
      <c r="FE40" s="17">
        <v>2</v>
      </c>
      <c r="FF40" s="17"/>
      <c r="FG40" s="17">
        <v>1</v>
      </c>
      <c r="FH40" s="17"/>
      <c r="FI40" s="17">
        <v>2</v>
      </c>
      <c r="FJ40" s="17">
        <v>1</v>
      </c>
      <c r="FK40" s="17">
        <v>1</v>
      </c>
      <c r="FL40" s="17">
        <v>2</v>
      </c>
      <c r="FM40" s="17"/>
      <c r="FN40" s="17">
        <v>2</v>
      </c>
      <c r="FO40" s="17">
        <v>1</v>
      </c>
      <c r="FP40" s="17">
        <v>1</v>
      </c>
      <c r="FQ40" s="17">
        <v>1</v>
      </c>
      <c r="FR40" s="17">
        <v>1</v>
      </c>
      <c r="FS40" s="17"/>
      <c r="FT40" s="17">
        <v>1</v>
      </c>
      <c r="FU40" s="17">
        <v>1</v>
      </c>
      <c r="FV40" s="17">
        <v>2</v>
      </c>
      <c r="FW40" s="17"/>
      <c r="FX40" s="17">
        <v>1</v>
      </c>
      <c r="FY40" s="17">
        <v>1</v>
      </c>
      <c r="FZ40" s="17">
        <v>1</v>
      </c>
      <c r="GA40" s="17">
        <v>1</v>
      </c>
      <c r="GB40" s="17">
        <v>1</v>
      </c>
      <c r="GC40" s="17">
        <v>1</v>
      </c>
      <c r="GD40" s="17"/>
      <c r="GE40" s="17"/>
      <c r="GF40" s="17"/>
      <c r="GG40" s="17">
        <v>1</v>
      </c>
      <c r="GH40" s="17"/>
      <c r="GI40" s="17"/>
      <c r="GJ40" s="17"/>
      <c r="GK40" s="17">
        <v>1</v>
      </c>
      <c r="GL40" s="17"/>
      <c r="GM40" s="17"/>
      <c r="GN40" s="17"/>
      <c r="GO40" s="17"/>
      <c r="GP40" s="17"/>
      <c r="GQ40" s="17">
        <v>1</v>
      </c>
      <c r="GR40" s="17"/>
      <c r="GS40" s="17"/>
      <c r="GT40" s="17">
        <v>1</v>
      </c>
      <c r="GU40" s="17"/>
      <c r="GV40" s="17"/>
      <c r="GW40" s="17"/>
      <c r="GX40" s="17"/>
      <c r="GY40" s="17">
        <v>1</v>
      </c>
      <c r="GZ40" s="17"/>
      <c r="HA40" s="17">
        <v>1</v>
      </c>
      <c r="HB40" s="17"/>
      <c r="HC40" s="17">
        <v>1</v>
      </c>
      <c r="HD40" s="17"/>
      <c r="HE40" s="17"/>
      <c r="HF40" s="17">
        <v>1</v>
      </c>
      <c r="HG40" s="17">
        <v>1</v>
      </c>
      <c r="HH40" s="17">
        <v>1</v>
      </c>
      <c r="HI40" s="17"/>
      <c r="HJ40" s="17">
        <v>1</v>
      </c>
      <c r="HK40" s="17">
        <v>1</v>
      </c>
      <c r="HL40" s="17">
        <v>1</v>
      </c>
      <c r="HM40" s="17">
        <v>1</v>
      </c>
      <c r="HN40" s="17"/>
      <c r="HO40" s="17">
        <v>1</v>
      </c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>
        <v>1</v>
      </c>
      <c r="IA40" s="17"/>
      <c r="IB40" s="17"/>
      <c r="IC40" s="17"/>
      <c r="ID40" s="17"/>
      <c r="IE40" s="17"/>
      <c r="IF40" s="17">
        <v>2</v>
      </c>
      <c r="IG40" s="17"/>
      <c r="IH40" s="17">
        <v>1</v>
      </c>
      <c r="II40" s="17"/>
      <c r="IJ40" s="17"/>
      <c r="IK40" s="17">
        <v>1</v>
      </c>
      <c r="IL40" s="17">
        <v>1</v>
      </c>
      <c r="IM40" s="17"/>
      <c r="IN40" s="17"/>
      <c r="IO40" s="17"/>
      <c r="IP40" s="17"/>
      <c r="IQ40" s="17"/>
      <c r="IR40" s="17">
        <v>1</v>
      </c>
      <c r="IS40" s="17"/>
      <c r="IT40" s="17"/>
      <c r="IU40" s="17"/>
      <c r="IV40" s="17"/>
      <c r="IW40" s="17"/>
      <c r="IX40" s="17"/>
      <c r="IY40" s="17">
        <v>2</v>
      </c>
      <c r="IZ40" s="17"/>
      <c r="JA40" s="17">
        <v>1</v>
      </c>
      <c r="JB40" s="17"/>
      <c r="JC40" s="17">
        <v>1</v>
      </c>
      <c r="JD40" s="17"/>
      <c r="JE40" s="17">
        <v>2</v>
      </c>
      <c r="JF40" s="17"/>
      <c r="JG40" s="17"/>
      <c r="JH40" s="17"/>
      <c r="JI40" s="17">
        <v>2</v>
      </c>
      <c r="JJ40" s="17"/>
      <c r="JK40" s="17">
        <v>2</v>
      </c>
      <c r="JL40" s="17"/>
      <c r="JM40" s="17">
        <v>1</v>
      </c>
      <c r="JN40" s="17">
        <v>2</v>
      </c>
      <c r="JO40" s="17"/>
      <c r="JP40" s="17"/>
      <c r="JQ40" s="17">
        <v>2</v>
      </c>
      <c r="JR40" s="17">
        <v>1</v>
      </c>
      <c r="JS40" s="17"/>
      <c r="JT40" s="17"/>
      <c r="JU40" s="17">
        <v>2</v>
      </c>
      <c r="JV40" s="17"/>
      <c r="JW40" s="17"/>
      <c r="JX40" s="17">
        <v>1</v>
      </c>
      <c r="JY40" s="17">
        <v>1</v>
      </c>
      <c r="JZ40" s="17">
        <v>2</v>
      </c>
      <c r="KA40" s="17">
        <v>1</v>
      </c>
      <c r="KB40" s="17"/>
      <c r="KC40" s="17">
        <v>1</v>
      </c>
      <c r="KD40" s="17">
        <v>2</v>
      </c>
      <c r="KE40" s="17">
        <v>1</v>
      </c>
      <c r="KF40" s="17">
        <v>1</v>
      </c>
      <c r="KG40" s="17">
        <v>1</v>
      </c>
      <c r="KH40" s="17">
        <v>2</v>
      </c>
      <c r="KI40" s="17">
        <v>1</v>
      </c>
      <c r="KJ40" s="17">
        <v>1</v>
      </c>
      <c r="KK40" s="17">
        <v>1</v>
      </c>
      <c r="KL40" s="17">
        <v>2</v>
      </c>
      <c r="KM40" s="17">
        <v>1</v>
      </c>
      <c r="KN40" s="17">
        <v>1</v>
      </c>
      <c r="KO40" s="17"/>
      <c r="KP40" s="17">
        <v>1</v>
      </c>
      <c r="KQ40" s="17">
        <v>1</v>
      </c>
      <c r="KR40" s="17"/>
      <c r="KS40" s="17"/>
      <c r="KT40" s="17"/>
      <c r="KU40" s="17"/>
      <c r="KV40" s="17">
        <v>1</v>
      </c>
      <c r="KW40" s="17">
        <v>1</v>
      </c>
      <c r="KX40" s="17">
        <v>1</v>
      </c>
      <c r="KY40" s="17">
        <v>1</v>
      </c>
      <c r="KZ40" s="17"/>
      <c r="LA40" s="17">
        <v>1</v>
      </c>
      <c r="LB40" s="17"/>
      <c r="LC40" s="17">
        <v>1</v>
      </c>
      <c r="LD40" s="17"/>
      <c r="LE40" s="17"/>
      <c r="LF40" s="17"/>
      <c r="LG40" s="17"/>
      <c r="LH40" s="17"/>
      <c r="LI40" s="17"/>
      <c r="LJ40" s="17"/>
      <c r="LK40" s="17"/>
      <c r="LL40" s="17">
        <v>1</v>
      </c>
      <c r="LM40" s="17"/>
      <c r="LN40" s="17"/>
      <c r="LO40" s="17"/>
      <c r="LP40" s="17">
        <v>1</v>
      </c>
      <c r="LQ40" s="17"/>
      <c r="LR40" s="17"/>
      <c r="LS40" s="17">
        <v>1</v>
      </c>
      <c r="LT40" s="17">
        <v>1</v>
      </c>
      <c r="LU40" s="17"/>
      <c r="LV40" s="17"/>
      <c r="LW40" s="17"/>
      <c r="LX40" s="17">
        <v>1</v>
      </c>
      <c r="LY40" s="17"/>
      <c r="LZ40" s="17">
        <v>1</v>
      </c>
      <c r="MA40" s="17"/>
      <c r="MB40" s="17"/>
      <c r="MC40" s="17"/>
      <c r="MD40" s="17">
        <v>1</v>
      </c>
      <c r="ME40" s="17">
        <v>1</v>
      </c>
      <c r="MF40" s="17"/>
      <c r="MG40" s="17"/>
      <c r="MH40" s="17">
        <v>1</v>
      </c>
      <c r="MI40" s="17"/>
      <c r="MJ40" s="17">
        <v>1</v>
      </c>
      <c r="MK40" s="17"/>
      <c r="ML40" s="17">
        <v>1</v>
      </c>
      <c r="MM40" s="17">
        <v>1</v>
      </c>
      <c r="MN40" s="17"/>
      <c r="MO40" s="17"/>
      <c r="MP40" s="17"/>
      <c r="MQ40" s="17">
        <v>1</v>
      </c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>
        <v>1</v>
      </c>
      <c r="NI40" s="17"/>
      <c r="NJ40" s="17"/>
      <c r="NK40" s="17">
        <v>1</v>
      </c>
      <c r="NL40" s="17"/>
      <c r="NM40" s="17">
        <v>1</v>
      </c>
      <c r="NN40" s="17"/>
      <c r="NO40" s="17"/>
      <c r="NP40" s="17"/>
      <c r="NQ40" s="17"/>
      <c r="NR40" s="17">
        <v>1</v>
      </c>
      <c r="NS40" s="17">
        <v>1</v>
      </c>
      <c r="NT40" s="17">
        <v>1</v>
      </c>
      <c r="NU40" s="17"/>
      <c r="NV40" s="17"/>
      <c r="NW40" s="17"/>
      <c r="NX40" s="17"/>
      <c r="NY40" s="17"/>
      <c r="NZ40" s="17"/>
      <c r="OA40" s="17">
        <v>1</v>
      </c>
      <c r="OB40" s="17"/>
      <c r="OC40" s="17">
        <v>2</v>
      </c>
      <c r="OD40" s="17"/>
      <c r="OE40" s="17"/>
      <c r="OF40" s="17"/>
      <c r="OG40" s="17"/>
      <c r="OH40" s="17"/>
      <c r="OI40" s="17"/>
      <c r="OJ40" s="17"/>
      <c r="OK40" s="17"/>
      <c r="OL40" s="17">
        <v>1</v>
      </c>
      <c r="OM40" s="17"/>
      <c r="ON40" s="17"/>
      <c r="OO40" s="17"/>
      <c r="OP40" s="17"/>
      <c r="OQ40" s="17">
        <v>1</v>
      </c>
      <c r="OR40" s="17">
        <v>2</v>
      </c>
      <c r="OS40" s="17"/>
      <c r="OT40" s="17"/>
      <c r="OU40" s="17"/>
      <c r="OV40" s="17">
        <v>1</v>
      </c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>
        <v>2</v>
      </c>
      <c r="PL40" s="17"/>
      <c r="PM40" s="17"/>
      <c r="PN40" s="17">
        <v>1</v>
      </c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 t="s">
        <v>506</v>
      </c>
      <c r="PZ40" s="17" t="s">
        <v>506</v>
      </c>
      <c r="QA40" s="17"/>
      <c r="QB40" s="17" t="s">
        <v>506</v>
      </c>
      <c r="QC40" s="17" t="s">
        <v>507</v>
      </c>
      <c r="QD40" s="17" t="s">
        <v>508</v>
      </c>
      <c r="QE40" s="17"/>
      <c r="QF40" s="17" t="s">
        <v>506</v>
      </c>
      <c r="QG40" s="17" t="s">
        <v>508</v>
      </c>
      <c r="QH40" s="17" t="s">
        <v>508</v>
      </c>
      <c r="QI40" s="17">
        <v>1</v>
      </c>
      <c r="QJ40" s="17">
        <v>1</v>
      </c>
      <c r="QK40" s="17">
        <v>0</v>
      </c>
      <c r="QL40" s="17">
        <v>1</v>
      </c>
      <c r="QM40" s="17">
        <v>1</v>
      </c>
      <c r="QN40" s="17">
        <v>1</v>
      </c>
      <c r="QO40" s="17">
        <v>1</v>
      </c>
      <c r="QP40" s="17">
        <v>1</v>
      </c>
      <c r="QQ40" s="17">
        <v>1</v>
      </c>
      <c r="QR40" s="17">
        <v>1</v>
      </c>
      <c r="QS40" s="17">
        <v>1</v>
      </c>
      <c r="QT40" s="17">
        <v>1</v>
      </c>
      <c r="QU40" s="17">
        <v>1</v>
      </c>
      <c r="QV40" s="17">
        <v>0</v>
      </c>
      <c r="QW40" s="17">
        <v>1</v>
      </c>
      <c r="QX40" s="17">
        <v>0</v>
      </c>
      <c r="QY40" s="17">
        <v>0</v>
      </c>
      <c r="QZ40" s="17">
        <v>1</v>
      </c>
      <c r="RA40" s="17">
        <v>1</v>
      </c>
      <c r="RB40" s="17">
        <v>1</v>
      </c>
      <c r="RC40" s="17">
        <v>1</v>
      </c>
      <c r="RD40" s="17">
        <v>1</v>
      </c>
      <c r="RE40" s="17">
        <v>1</v>
      </c>
      <c r="RF40" s="17"/>
      <c r="RG40" s="17"/>
      <c r="RH40" s="17"/>
      <c r="RI40" s="17"/>
      <c r="RJ40" s="17"/>
      <c r="RK40" s="17">
        <v>1</v>
      </c>
      <c r="RL40" s="17"/>
      <c r="RM40" s="17">
        <v>1</v>
      </c>
      <c r="RN40" s="17">
        <v>1</v>
      </c>
      <c r="RO40" s="17">
        <v>1</v>
      </c>
      <c r="RP40" s="17"/>
      <c r="RQ40" s="17">
        <v>1</v>
      </c>
      <c r="RR40" s="17"/>
      <c r="RS40" s="17">
        <v>1</v>
      </c>
      <c r="RT40" s="17">
        <v>1</v>
      </c>
      <c r="RU40" s="17">
        <v>1</v>
      </c>
      <c r="RV40" s="17"/>
      <c r="RW40" s="17">
        <v>1</v>
      </c>
      <c r="RX40" s="17">
        <v>1</v>
      </c>
      <c r="RY40" s="17">
        <v>1</v>
      </c>
      <c r="RZ40" s="17">
        <v>1</v>
      </c>
      <c r="SA40" s="17">
        <v>1</v>
      </c>
      <c r="SB40" s="17">
        <v>1</v>
      </c>
      <c r="SC40" s="17">
        <v>1</v>
      </c>
      <c r="SD40" s="17">
        <v>1</v>
      </c>
      <c r="SE40" s="17">
        <v>1</v>
      </c>
      <c r="SF40" s="17">
        <v>1</v>
      </c>
      <c r="SG40" s="17">
        <v>1</v>
      </c>
      <c r="SH40" s="17">
        <v>0</v>
      </c>
      <c r="SI40" s="17">
        <v>10041</v>
      </c>
      <c r="SJ40" s="19">
        <f t="shared" si="3"/>
        <v>113</v>
      </c>
      <c r="SK40" s="19">
        <f t="shared" si="4"/>
        <v>156</v>
      </c>
      <c r="SL40" s="19">
        <f t="shared" si="5"/>
        <v>43</v>
      </c>
      <c r="SM40" s="9">
        <v>10041</v>
      </c>
      <c r="SN40" s="9" t="s">
        <v>509</v>
      </c>
      <c r="SO40" s="10">
        <v>1</v>
      </c>
      <c r="SP40" s="9">
        <v>3</v>
      </c>
      <c r="SQ40" s="11" t="s">
        <v>517</v>
      </c>
      <c r="SR40" s="9">
        <v>16</v>
      </c>
      <c r="SS40" s="28">
        <v>64.5</v>
      </c>
      <c r="ST40" s="28">
        <v>16</v>
      </c>
      <c r="SU40" s="28">
        <v>156</v>
      </c>
      <c r="SV40" s="28">
        <v>31</v>
      </c>
      <c r="SW40" s="28">
        <v>43</v>
      </c>
      <c r="SX40" s="28">
        <v>52</v>
      </c>
      <c r="SY40" s="29">
        <v>45</v>
      </c>
      <c r="SZ40" s="30">
        <v>55</v>
      </c>
      <c r="TA40" s="31">
        <v>23</v>
      </c>
      <c r="TB40" s="31">
        <v>50</v>
      </c>
    </row>
    <row r="41" spans="1:522" ht="15.75" customHeight="1" x14ac:dyDescent="0.2">
      <c r="A41" s="17">
        <v>10042</v>
      </c>
      <c r="B41" s="17" t="s">
        <v>501</v>
      </c>
      <c r="C41" s="17" t="s">
        <v>502</v>
      </c>
      <c r="D41" s="17" t="s">
        <v>512</v>
      </c>
      <c r="E41" s="17" t="s">
        <v>509</v>
      </c>
      <c r="F41" s="18">
        <v>38033</v>
      </c>
      <c r="G41" s="18">
        <v>38558</v>
      </c>
      <c r="H41" s="14">
        <f t="shared" si="2"/>
        <v>17</v>
      </c>
      <c r="I41" s="17" t="s">
        <v>505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/>
      <c r="P41" s="17"/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/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/>
      <c r="AE41" s="17">
        <v>1</v>
      </c>
      <c r="AF41" s="17">
        <v>1</v>
      </c>
      <c r="AG41" s="17">
        <v>1</v>
      </c>
      <c r="AH41" s="17">
        <v>1</v>
      </c>
      <c r="AI41" s="17"/>
      <c r="AJ41" s="17"/>
      <c r="AK41" s="17">
        <v>1</v>
      </c>
      <c r="AL41" s="17">
        <v>1</v>
      </c>
      <c r="AM41" s="17">
        <v>1</v>
      </c>
      <c r="AN41" s="17">
        <v>1</v>
      </c>
      <c r="AO41" s="17" t="s">
        <v>507</v>
      </c>
      <c r="AP41" s="17" t="s">
        <v>507</v>
      </c>
      <c r="AQ41" s="17">
        <v>2</v>
      </c>
      <c r="AR41" s="17">
        <v>2</v>
      </c>
      <c r="AS41" s="17">
        <v>1</v>
      </c>
      <c r="AT41" s="17">
        <v>2</v>
      </c>
      <c r="AU41" s="17">
        <v>2</v>
      </c>
      <c r="AV41" s="17">
        <v>2</v>
      </c>
      <c r="AW41" s="17">
        <v>2</v>
      </c>
      <c r="AX41" s="17">
        <v>1</v>
      </c>
      <c r="AY41" s="17">
        <v>2</v>
      </c>
      <c r="AZ41" s="17">
        <v>1</v>
      </c>
      <c r="BA41" s="17">
        <v>2</v>
      </c>
      <c r="BB41" s="17">
        <v>1</v>
      </c>
      <c r="BC41" s="17"/>
      <c r="BD41" s="17"/>
      <c r="BE41" s="17"/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/>
      <c r="BN41" s="17">
        <v>2</v>
      </c>
      <c r="BO41" s="17"/>
      <c r="BP41" s="17">
        <v>2</v>
      </c>
      <c r="BQ41" s="17">
        <v>1</v>
      </c>
      <c r="BR41" s="17">
        <v>2</v>
      </c>
      <c r="BS41" s="17"/>
      <c r="BT41" s="17"/>
      <c r="BU41" s="17"/>
      <c r="BV41" s="17">
        <v>1</v>
      </c>
      <c r="BW41" s="17">
        <v>1</v>
      </c>
      <c r="BX41" s="17"/>
      <c r="BY41" s="17">
        <v>1</v>
      </c>
      <c r="BZ41" s="17">
        <v>1</v>
      </c>
      <c r="CA41" s="17">
        <v>1</v>
      </c>
      <c r="CB41" s="17"/>
      <c r="CC41" s="17"/>
      <c r="CD41" s="17"/>
      <c r="CE41" s="17"/>
      <c r="CF41" s="17">
        <v>1</v>
      </c>
      <c r="CG41" s="17">
        <v>1</v>
      </c>
      <c r="CH41" s="17">
        <v>1</v>
      </c>
      <c r="CI41" s="17"/>
      <c r="CJ41" s="17">
        <v>1</v>
      </c>
      <c r="CK41" s="17"/>
      <c r="CL41" s="17"/>
      <c r="CM41" s="17">
        <v>1</v>
      </c>
      <c r="CN41" s="17">
        <v>1</v>
      </c>
      <c r="CO41" s="17"/>
      <c r="CP41" s="17">
        <v>1</v>
      </c>
      <c r="CQ41" s="17"/>
      <c r="CR41" s="17"/>
      <c r="CS41" s="17">
        <v>1</v>
      </c>
      <c r="CT41" s="17">
        <v>1</v>
      </c>
      <c r="CU41" s="17">
        <v>2</v>
      </c>
      <c r="CV41" s="17">
        <v>2</v>
      </c>
      <c r="CW41" s="17">
        <v>2</v>
      </c>
      <c r="CX41" s="17"/>
      <c r="CY41" s="17">
        <v>2</v>
      </c>
      <c r="CZ41" s="17">
        <v>2</v>
      </c>
      <c r="DA41" s="17">
        <v>1</v>
      </c>
      <c r="DB41" s="17">
        <v>1</v>
      </c>
      <c r="DC41" s="17">
        <v>1</v>
      </c>
      <c r="DD41" s="17">
        <v>2</v>
      </c>
      <c r="DE41" s="17">
        <v>2</v>
      </c>
      <c r="DF41" s="17">
        <v>1</v>
      </c>
      <c r="DG41" s="17"/>
      <c r="DH41" s="17"/>
      <c r="DI41" s="17"/>
      <c r="DJ41" s="17">
        <v>1</v>
      </c>
      <c r="DK41" s="17"/>
      <c r="DL41" s="17"/>
      <c r="DM41" s="17">
        <v>1</v>
      </c>
      <c r="DN41" s="17">
        <v>1</v>
      </c>
      <c r="DO41" s="17"/>
      <c r="DP41" s="17">
        <v>1</v>
      </c>
      <c r="DQ41" s="17">
        <v>1</v>
      </c>
      <c r="DR41" s="17">
        <v>1</v>
      </c>
      <c r="DS41" s="17">
        <v>1</v>
      </c>
      <c r="DT41" s="17">
        <v>2</v>
      </c>
      <c r="DU41" s="17"/>
      <c r="DV41" s="17">
        <v>1</v>
      </c>
      <c r="DW41" s="17">
        <v>1</v>
      </c>
      <c r="DX41" s="17"/>
      <c r="DY41" s="17">
        <v>2</v>
      </c>
      <c r="DZ41" s="17">
        <v>1</v>
      </c>
      <c r="EA41" s="17">
        <v>1</v>
      </c>
      <c r="EB41" s="17"/>
      <c r="EC41" s="17">
        <v>1</v>
      </c>
      <c r="ED41" s="17"/>
      <c r="EE41" s="17">
        <v>1</v>
      </c>
      <c r="EF41" s="17"/>
      <c r="EG41" s="17">
        <v>1</v>
      </c>
      <c r="EH41" s="17"/>
      <c r="EI41" s="17">
        <v>1</v>
      </c>
      <c r="EJ41" s="17"/>
      <c r="EK41" s="17">
        <v>1</v>
      </c>
      <c r="EL41" s="17">
        <v>1</v>
      </c>
      <c r="EM41" s="17">
        <v>1</v>
      </c>
      <c r="EN41" s="17"/>
      <c r="EO41" s="17">
        <v>2</v>
      </c>
      <c r="EP41" s="17">
        <v>1</v>
      </c>
      <c r="EQ41" s="17"/>
      <c r="ER41" s="17">
        <v>1</v>
      </c>
      <c r="ES41" s="17"/>
      <c r="ET41" s="17"/>
      <c r="EU41" s="17">
        <v>1</v>
      </c>
      <c r="EV41" s="17">
        <v>2</v>
      </c>
      <c r="EW41" s="17"/>
      <c r="EX41" s="17">
        <v>1</v>
      </c>
      <c r="EY41" s="17">
        <v>1</v>
      </c>
      <c r="EZ41" s="17"/>
      <c r="FA41" s="17">
        <v>1</v>
      </c>
      <c r="FB41" s="17">
        <v>1</v>
      </c>
      <c r="FC41" s="17">
        <v>1</v>
      </c>
      <c r="FD41" s="17">
        <v>1</v>
      </c>
      <c r="FE41" s="17">
        <v>1</v>
      </c>
      <c r="FF41" s="17">
        <v>1</v>
      </c>
      <c r="FG41" s="17">
        <v>1</v>
      </c>
      <c r="FH41" s="17">
        <v>1</v>
      </c>
      <c r="FI41" s="17">
        <v>1</v>
      </c>
      <c r="FJ41" s="17">
        <v>1</v>
      </c>
      <c r="FK41" s="17">
        <v>1</v>
      </c>
      <c r="FL41" s="17">
        <v>1</v>
      </c>
      <c r="FM41" s="17"/>
      <c r="FN41" s="17">
        <v>1</v>
      </c>
      <c r="FO41" s="17">
        <v>2</v>
      </c>
      <c r="FP41" s="17">
        <v>1</v>
      </c>
      <c r="FQ41" s="17">
        <v>1</v>
      </c>
      <c r="FR41" s="17">
        <v>1</v>
      </c>
      <c r="FS41" s="17">
        <v>1</v>
      </c>
      <c r="FT41" s="17">
        <v>1</v>
      </c>
      <c r="FU41" s="17"/>
      <c r="FV41" s="17">
        <v>1</v>
      </c>
      <c r="FW41" s="17"/>
      <c r="FX41" s="17"/>
      <c r="FY41" s="17">
        <v>1</v>
      </c>
      <c r="FZ41" s="17"/>
      <c r="GA41" s="17">
        <v>1</v>
      </c>
      <c r="GB41" s="17">
        <v>1</v>
      </c>
      <c r="GC41" s="17">
        <v>1</v>
      </c>
      <c r="GD41" s="17"/>
      <c r="GE41" s="17">
        <v>1</v>
      </c>
      <c r="GF41" s="17"/>
      <c r="GG41" s="17">
        <v>1</v>
      </c>
      <c r="GH41" s="17"/>
      <c r="GI41" s="17">
        <v>1</v>
      </c>
      <c r="GJ41" s="17"/>
      <c r="GK41" s="17"/>
      <c r="GL41" s="17"/>
      <c r="GM41" s="17"/>
      <c r="GN41" s="17">
        <v>1</v>
      </c>
      <c r="GO41" s="17"/>
      <c r="GP41" s="17">
        <v>1</v>
      </c>
      <c r="GQ41" s="17"/>
      <c r="GR41" s="17"/>
      <c r="GS41" s="17"/>
      <c r="GT41" s="17">
        <v>1</v>
      </c>
      <c r="GU41" s="17"/>
      <c r="GV41" s="17"/>
      <c r="GW41" s="17"/>
      <c r="GX41" s="17">
        <v>1</v>
      </c>
      <c r="GY41" s="17">
        <v>1</v>
      </c>
      <c r="GZ41" s="17"/>
      <c r="HA41" s="17"/>
      <c r="HB41" s="17">
        <v>1</v>
      </c>
      <c r="HC41" s="17"/>
      <c r="HD41" s="17"/>
      <c r="HE41" s="17"/>
      <c r="HF41" s="17">
        <v>1</v>
      </c>
      <c r="HG41" s="17">
        <v>1</v>
      </c>
      <c r="HH41" s="17"/>
      <c r="HI41" s="17">
        <v>1</v>
      </c>
      <c r="HJ41" s="17"/>
      <c r="HK41" s="17">
        <v>1</v>
      </c>
      <c r="HL41" s="17">
        <v>1</v>
      </c>
      <c r="HM41" s="17"/>
      <c r="HN41" s="17"/>
      <c r="HO41" s="17"/>
      <c r="HP41" s="17"/>
      <c r="HQ41" s="17"/>
      <c r="HR41" s="17"/>
      <c r="HS41" s="17"/>
      <c r="HT41" s="17">
        <v>1</v>
      </c>
      <c r="HU41" s="17"/>
      <c r="HV41" s="17"/>
      <c r="HW41" s="17"/>
      <c r="HX41" s="17">
        <v>1</v>
      </c>
      <c r="HY41" s="17"/>
      <c r="HZ41" s="17"/>
      <c r="IA41" s="17">
        <v>1</v>
      </c>
      <c r="IB41" s="17"/>
      <c r="IC41" s="17"/>
      <c r="ID41" s="17"/>
      <c r="IE41" s="17"/>
      <c r="IF41" s="17">
        <v>1</v>
      </c>
      <c r="IG41" s="17"/>
      <c r="IH41" s="17">
        <v>1</v>
      </c>
      <c r="II41" s="17"/>
      <c r="IJ41" s="17">
        <v>2</v>
      </c>
      <c r="IK41" s="17">
        <v>1</v>
      </c>
      <c r="IL41" s="17"/>
      <c r="IM41" s="17"/>
      <c r="IN41" s="17"/>
      <c r="IO41" s="17"/>
      <c r="IP41" s="17">
        <v>2</v>
      </c>
      <c r="IQ41" s="17"/>
      <c r="IR41" s="17"/>
      <c r="IS41" s="17"/>
      <c r="IT41" s="17"/>
      <c r="IU41" s="17"/>
      <c r="IV41" s="17"/>
      <c r="IW41" s="17"/>
      <c r="IX41" s="17"/>
      <c r="IY41" s="17">
        <v>1</v>
      </c>
      <c r="IZ41" s="17">
        <v>1</v>
      </c>
      <c r="JA41" s="17">
        <v>1</v>
      </c>
      <c r="JB41" s="17"/>
      <c r="JC41" s="17"/>
      <c r="JD41" s="17"/>
      <c r="JE41" s="17">
        <v>2</v>
      </c>
      <c r="JF41" s="17"/>
      <c r="JG41" s="17"/>
      <c r="JH41" s="17"/>
      <c r="JI41" s="17"/>
      <c r="JJ41" s="17"/>
      <c r="JK41" s="17">
        <v>2</v>
      </c>
      <c r="JL41" s="17"/>
      <c r="JM41" s="17">
        <v>2</v>
      </c>
      <c r="JN41" s="17"/>
      <c r="JO41" s="17"/>
      <c r="JP41" s="17"/>
      <c r="JQ41" s="17">
        <v>2</v>
      </c>
      <c r="JR41" s="17">
        <v>1</v>
      </c>
      <c r="JS41" s="17"/>
      <c r="JT41" s="17"/>
      <c r="JU41" s="17"/>
      <c r="JV41" s="17"/>
      <c r="JW41" s="17"/>
      <c r="JX41" s="17">
        <v>1</v>
      </c>
      <c r="JY41" s="17"/>
      <c r="JZ41" s="17">
        <v>2</v>
      </c>
      <c r="KA41" s="17">
        <v>1</v>
      </c>
      <c r="KB41" s="17"/>
      <c r="KC41" s="17">
        <v>2</v>
      </c>
      <c r="KD41" s="17">
        <v>1</v>
      </c>
      <c r="KE41" s="17">
        <v>1</v>
      </c>
      <c r="KF41" s="17"/>
      <c r="KG41" s="17">
        <v>1</v>
      </c>
      <c r="KH41" s="17">
        <v>2</v>
      </c>
      <c r="KI41" s="17">
        <v>1</v>
      </c>
      <c r="KJ41" s="17">
        <v>1</v>
      </c>
      <c r="KK41" s="17"/>
      <c r="KL41" s="17">
        <v>2</v>
      </c>
      <c r="KM41" s="17"/>
      <c r="KN41" s="17"/>
      <c r="KO41" s="17"/>
      <c r="KP41" s="17"/>
      <c r="KQ41" s="17">
        <v>1</v>
      </c>
      <c r="KR41" s="17">
        <v>1</v>
      </c>
      <c r="KS41" s="17">
        <v>1</v>
      </c>
      <c r="KT41" s="17">
        <v>1</v>
      </c>
      <c r="KU41" s="17">
        <v>1</v>
      </c>
      <c r="KV41" s="17"/>
      <c r="KW41" s="17">
        <v>1</v>
      </c>
      <c r="KX41" s="17">
        <v>1</v>
      </c>
      <c r="KY41" s="17">
        <v>1</v>
      </c>
      <c r="KZ41" s="17">
        <v>1</v>
      </c>
      <c r="LA41" s="17">
        <v>1</v>
      </c>
      <c r="LB41" s="17">
        <v>1</v>
      </c>
      <c r="LC41" s="17">
        <v>1</v>
      </c>
      <c r="LD41" s="17">
        <v>1</v>
      </c>
      <c r="LE41" s="17"/>
      <c r="LF41" s="17"/>
      <c r="LG41" s="17">
        <v>1</v>
      </c>
      <c r="LH41" s="17">
        <v>1</v>
      </c>
      <c r="LI41" s="17">
        <v>1</v>
      </c>
      <c r="LJ41" s="17"/>
      <c r="LK41" s="17"/>
      <c r="LL41" s="17">
        <v>1</v>
      </c>
      <c r="LM41" s="17"/>
      <c r="LN41" s="17">
        <v>1</v>
      </c>
      <c r="LO41" s="17">
        <v>1</v>
      </c>
      <c r="LP41" s="17">
        <v>1</v>
      </c>
      <c r="LQ41" s="17">
        <v>1</v>
      </c>
      <c r="LR41" s="17"/>
      <c r="LS41" s="17">
        <v>1</v>
      </c>
      <c r="LT41" s="17"/>
      <c r="LU41" s="17"/>
      <c r="LV41" s="17"/>
      <c r="LW41" s="17">
        <v>1</v>
      </c>
      <c r="LX41" s="17">
        <v>1</v>
      </c>
      <c r="LY41" s="17">
        <v>1</v>
      </c>
      <c r="LZ41" s="17">
        <v>1</v>
      </c>
      <c r="MA41" s="17">
        <v>1</v>
      </c>
      <c r="MB41" s="17"/>
      <c r="MC41" s="17">
        <v>1</v>
      </c>
      <c r="MD41" s="17">
        <v>1</v>
      </c>
      <c r="ME41" s="17">
        <v>1</v>
      </c>
      <c r="MF41" s="17"/>
      <c r="MG41" s="17">
        <v>1</v>
      </c>
      <c r="MH41" s="17"/>
      <c r="MI41" s="17"/>
      <c r="MJ41" s="17">
        <v>1</v>
      </c>
      <c r="MK41" s="17"/>
      <c r="ML41" s="17">
        <v>1</v>
      </c>
      <c r="MM41" s="17"/>
      <c r="MN41" s="17"/>
      <c r="MO41" s="17"/>
      <c r="MP41" s="17">
        <v>2</v>
      </c>
      <c r="MQ41" s="17">
        <v>1</v>
      </c>
      <c r="MR41" s="17"/>
      <c r="MS41" s="17">
        <v>1</v>
      </c>
      <c r="MT41" s="17"/>
      <c r="MU41" s="17"/>
      <c r="MV41" s="17"/>
      <c r="MW41" s="17"/>
      <c r="MX41" s="17"/>
      <c r="MY41" s="17"/>
      <c r="MZ41" s="17"/>
      <c r="NA41" s="17"/>
      <c r="NB41" s="17">
        <v>1</v>
      </c>
      <c r="NC41" s="17">
        <v>1</v>
      </c>
      <c r="ND41" s="17"/>
      <c r="NE41" s="17"/>
      <c r="NF41" s="17"/>
      <c r="NG41" s="17">
        <v>2</v>
      </c>
      <c r="NH41" s="17"/>
      <c r="NI41" s="17"/>
      <c r="NJ41" s="17">
        <v>1</v>
      </c>
      <c r="NK41" s="17"/>
      <c r="NL41" s="17"/>
      <c r="NM41" s="17"/>
      <c r="NN41" s="17"/>
      <c r="NO41" s="17"/>
      <c r="NP41" s="17"/>
      <c r="NQ41" s="17"/>
      <c r="NR41" s="17">
        <v>1</v>
      </c>
      <c r="NS41" s="17">
        <v>1</v>
      </c>
      <c r="NT41" s="17">
        <v>2</v>
      </c>
      <c r="NU41" s="17"/>
      <c r="NV41" s="17">
        <v>2</v>
      </c>
      <c r="NW41" s="17"/>
      <c r="NX41" s="17">
        <v>1</v>
      </c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>
        <v>2</v>
      </c>
      <c r="OR41" s="17"/>
      <c r="OS41" s="17"/>
      <c r="OT41" s="17">
        <v>2</v>
      </c>
      <c r="OU41" s="17"/>
      <c r="OV41" s="17"/>
      <c r="OW41" s="17"/>
      <c r="OX41" s="17"/>
      <c r="OY41" s="17"/>
      <c r="OZ41" s="17"/>
      <c r="PA41" s="17">
        <v>1</v>
      </c>
      <c r="PB41" s="17">
        <v>1</v>
      </c>
      <c r="PC41" s="17"/>
      <c r="PD41" s="17"/>
      <c r="PE41" s="17"/>
      <c r="PF41" s="17">
        <v>2</v>
      </c>
      <c r="PG41" s="17"/>
      <c r="PH41" s="17">
        <v>1</v>
      </c>
      <c r="PI41" s="17">
        <v>1</v>
      </c>
      <c r="PJ41" s="17">
        <v>1</v>
      </c>
      <c r="PK41" s="17">
        <v>1</v>
      </c>
      <c r="PL41" s="17">
        <v>1</v>
      </c>
      <c r="PM41" s="17"/>
      <c r="PN41" s="17"/>
      <c r="PO41" s="17"/>
      <c r="PP41" s="17"/>
      <c r="PQ41" s="17">
        <v>2</v>
      </c>
      <c r="PR41" s="17"/>
      <c r="PS41" s="17"/>
      <c r="PT41" s="17"/>
      <c r="PU41" s="17"/>
      <c r="PV41" s="17"/>
      <c r="PW41" s="17" t="s">
        <v>507</v>
      </c>
      <c r="PX41" s="17" t="s">
        <v>507</v>
      </c>
      <c r="PY41" s="17" t="s">
        <v>507</v>
      </c>
      <c r="PZ41" s="17" t="s">
        <v>507</v>
      </c>
      <c r="QA41" s="17"/>
      <c r="QB41" s="17"/>
      <c r="QC41" s="17" t="s">
        <v>507</v>
      </c>
      <c r="QD41" s="17" t="s">
        <v>507</v>
      </c>
      <c r="QE41" s="17" t="s">
        <v>507</v>
      </c>
      <c r="QF41" s="17" t="s">
        <v>508</v>
      </c>
      <c r="QG41" s="17" t="s">
        <v>507</v>
      </c>
      <c r="QH41" s="17" t="s">
        <v>507</v>
      </c>
      <c r="QI41" s="17">
        <v>1</v>
      </c>
      <c r="QJ41" s="17">
        <v>1</v>
      </c>
      <c r="QK41" s="17"/>
      <c r="QL41" s="17">
        <v>1</v>
      </c>
      <c r="QM41" s="17">
        <v>1</v>
      </c>
      <c r="QN41" s="17">
        <v>1</v>
      </c>
      <c r="QO41" s="17"/>
      <c r="QP41" s="17">
        <v>1</v>
      </c>
      <c r="QQ41" s="17">
        <v>1</v>
      </c>
      <c r="QR41" s="17">
        <v>1</v>
      </c>
      <c r="QS41" s="17">
        <v>0</v>
      </c>
      <c r="QT41" s="17">
        <v>1</v>
      </c>
      <c r="QU41" s="17">
        <v>1</v>
      </c>
      <c r="QV41" s="17">
        <v>1</v>
      </c>
      <c r="QW41" s="17">
        <v>1</v>
      </c>
      <c r="QX41" s="17">
        <v>1</v>
      </c>
      <c r="QY41" s="17">
        <v>0</v>
      </c>
      <c r="QZ41" s="17">
        <v>1</v>
      </c>
      <c r="RA41" s="17">
        <v>1</v>
      </c>
      <c r="RB41" s="17">
        <v>1</v>
      </c>
      <c r="RC41" s="17">
        <v>1</v>
      </c>
      <c r="RD41" s="17">
        <v>1</v>
      </c>
      <c r="RE41" s="17">
        <v>1</v>
      </c>
      <c r="RF41" s="17">
        <v>0</v>
      </c>
      <c r="RG41" s="17">
        <v>0</v>
      </c>
      <c r="RH41" s="17">
        <v>1</v>
      </c>
      <c r="RI41" s="17">
        <v>1</v>
      </c>
      <c r="RJ41" s="17">
        <v>0</v>
      </c>
      <c r="RK41" s="17">
        <v>0</v>
      </c>
      <c r="RL41" s="17">
        <v>1</v>
      </c>
      <c r="RM41" s="17">
        <v>0</v>
      </c>
      <c r="RN41" s="17">
        <v>1</v>
      </c>
      <c r="RO41" s="17">
        <v>0</v>
      </c>
      <c r="RP41" s="17">
        <v>0</v>
      </c>
      <c r="RQ41" s="17">
        <v>0</v>
      </c>
      <c r="RR41" s="17">
        <v>0</v>
      </c>
      <c r="RS41" s="17">
        <v>1</v>
      </c>
      <c r="RT41" s="17">
        <v>0</v>
      </c>
      <c r="RU41" s="17">
        <v>0</v>
      </c>
      <c r="RV41" s="17">
        <v>0</v>
      </c>
      <c r="RW41" s="17">
        <v>1</v>
      </c>
      <c r="RX41" s="17">
        <v>1</v>
      </c>
      <c r="RY41" s="17">
        <v>1</v>
      </c>
      <c r="RZ41" s="17">
        <v>0</v>
      </c>
      <c r="SA41" s="17">
        <v>1</v>
      </c>
      <c r="SB41" s="17">
        <v>1</v>
      </c>
      <c r="SC41" s="17">
        <v>0</v>
      </c>
      <c r="SD41" s="17">
        <v>0</v>
      </c>
      <c r="SE41" s="17">
        <v>1</v>
      </c>
      <c r="SF41" s="17">
        <v>1</v>
      </c>
      <c r="SG41" s="17">
        <v>1</v>
      </c>
      <c r="SH41" s="17">
        <v>1</v>
      </c>
      <c r="SI41" s="17">
        <v>10042</v>
      </c>
      <c r="SJ41" s="19">
        <f t="shared" si="3"/>
        <v>155</v>
      </c>
      <c r="SK41" s="19">
        <f t="shared" si="4"/>
        <v>196</v>
      </c>
      <c r="SL41" s="19">
        <f t="shared" si="5"/>
        <v>41</v>
      </c>
      <c r="SM41" s="9">
        <v>10042</v>
      </c>
      <c r="SN41" s="9" t="s">
        <v>509</v>
      </c>
      <c r="SO41" s="10">
        <v>1</v>
      </c>
      <c r="SP41" s="9">
        <v>1</v>
      </c>
      <c r="SQ41" s="11" t="s">
        <v>515</v>
      </c>
      <c r="SR41" s="9">
        <v>18</v>
      </c>
      <c r="SS41" s="28">
        <v>66</v>
      </c>
      <c r="ST41" s="28">
        <v>17</v>
      </c>
      <c r="SU41" s="28">
        <v>201</v>
      </c>
      <c r="SV41" s="28">
        <v>34</v>
      </c>
      <c r="SW41" s="28">
        <v>47</v>
      </c>
      <c r="SX41" s="28">
        <v>29</v>
      </c>
      <c r="SY41" s="29">
        <v>44</v>
      </c>
      <c r="SZ41" s="30">
        <v>30</v>
      </c>
      <c r="TA41" s="31">
        <v>22</v>
      </c>
      <c r="TB41" s="31">
        <v>30</v>
      </c>
    </row>
    <row r="42" spans="1:522" ht="15.75" customHeight="1" x14ac:dyDescent="0.2">
      <c r="A42" s="17">
        <v>10043</v>
      </c>
      <c r="B42" s="17" t="s">
        <v>501</v>
      </c>
      <c r="C42" s="17" t="s">
        <v>502</v>
      </c>
      <c r="D42" s="17" t="s">
        <v>512</v>
      </c>
      <c r="E42" s="17" t="s">
        <v>509</v>
      </c>
      <c r="F42" s="18">
        <v>38038</v>
      </c>
      <c r="G42" s="18">
        <v>38532</v>
      </c>
      <c r="H42" s="14">
        <f t="shared" si="2"/>
        <v>16</v>
      </c>
      <c r="I42" s="17" t="s">
        <v>505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/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/>
      <c r="AE42" s="17">
        <v>1</v>
      </c>
      <c r="AF42" s="17">
        <v>1</v>
      </c>
      <c r="AG42" s="17"/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 t="s">
        <v>506</v>
      </c>
      <c r="AP42" s="17" t="s">
        <v>508</v>
      </c>
      <c r="AQ42" s="17">
        <v>2</v>
      </c>
      <c r="AR42" s="17">
        <v>2</v>
      </c>
      <c r="AS42" s="17">
        <v>1</v>
      </c>
      <c r="AT42" s="17">
        <v>1</v>
      </c>
      <c r="AU42" s="17">
        <v>2</v>
      </c>
      <c r="AV42" s="17">
        <v>2</v>
      </c>
      <c r="AW42" s="17">
        <v>2</v>
      </c>
      <c r="AX42" s="17">
        <v>1</v>
      </c>
      <c r="AY42" s="17">
        <v>1</v>
      </c>
      <c r="AZ42" s="17"/>
      <c r="BA42" s="17">
        <v>2</v>
      </c>
      <c r="BB42" s="17">
        <v>1</v>
      </c>
      <c r="BC42" s="17"/>
      <c r="BD42" s="17">
        <v>2</v>
      </c>
      <c r="BE42" s="17">
        <v>2</v>
      </c>
      <c r="BF42" s="17">
        <v>2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/>
      <c r="BN42" s="17">
        <v>2</v>
      </c>
      <c r="BO42" s="17"/>
      <c r="BP42" s="17">
        <v>2</v>
      </c>
      <c r="BQ42" s="17">
        <v>1</v>
      </c>
      <c r="BR42" s="17">
        <v>2</v>
      </c>
      <c r="BS42" s="17">
        <v>1</v>
      </c>
      <c r="BT42" s="17">
        <v>2</v>
      </c>
      <c r="BU42" s="17"/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2</v>
      </c>
      <c r="CC42" s="17"/>
      <c r="CD42" s="17">
        <v>1</v>
      </c>
      <c r="CE42" s="17"/>
      <c r="CF42" s="17"/>
      <c r="CG42" s="17">
        <v>1</v>
      </c>
      <c r="CH42" s="17">
        <v>1</v>
      </c>
      <c r="CI42" s="17">
        <v>1</v>
      </c>
      <c r="CJ42" s="17">
        <v>2</v>
      </c>
      <c r="CK42" s="17"/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/>
      <c r="CS42" s="17">
        <v>1</v>
      </c>
      <c r="CT42" s="17">
        <v>2</v>
      </c>
      <c r="CU42" s="17">
        <v>1</v>
      </c>
      <c r="CV42" s="17">
        <v>2</v>
      </c>
      <c r="CW42" s="17">
        <v>2</v>
      </c>
      <c r="CX42" s="17">
        <v>1</v>
      </c>
      <c r="CY42" s="17">
        <v>2</v>
      </c>
      <c r="CZ42" s="17">
        <v>2</v>
      </c>
      <c r="DA42" s="17">
        <v>2</v>
      </c>
      <c r="DB42" s="17"/>
      <c r="DC42" s="17">
        <v>1</v>
      </c>
      <c r="DD42" s="17">
        <v>2</v>
      </c>
      <c r="DE42" s="17">
        <v>2</v>
      </c>
      <c r="DF42" s="17">
        <v>1</v>
      </c>
      <c r="DG42" s="17"/>
      <c r="DH42" s="17"/>
      <c r="DI42" s="17"/>
      <c r="DJ42" s="17">
        <v>1</v>
      </c>
      <c r="DK42" s="17">
        <v>1</v>
      </c>
      <c r="DL42" s="17"/>
      <c r="DM42" s="17">
        <v>2</v>
      </c>
      <c r="DN42" s="17">
        <v>1</v>
      </c>
      <c r="DO42" s="17"/>
      <c r="DP42" s="17">
        <v>2</v>
      </c>
      <c r="DQ42" s="17">
        <v>1</v>
      </c>
      <c r="DR42" s="17">
        <v>1</v>
      </c>
      <c r="DS42" s="17">
        <v>1</v>
      </c>
      <c r="DT42" s="17">
        <v>1</v>
      </c>
      <c r="DU42" s="17">
        <v>1</v>
      </c>
      <c r="DV42" s="17">
        <v>1</v>
      </c>
      <c r="DW42" s="17">
        <v>2</v>
      </c>
      <c r="DX42" s="17"/>
      <c r="DY42" s="17">
        <v>2</v>
      </c>
      <c r="DZ42" s="17">
        <v>2</v>
      </c>
      <c r="EA42" s="17">
        <v>2</v>
      </c>
      <c r="EB42" s="17">
        <v>2</v>
      </c>
      <c r="EC42" s="17"/>
      <c r="ED42" s="17">
        <v>2</v>
      </c>
      <c r="EE42" s="17">
        <v>1</v>
      </c>
      <c r="EF42" s="17">
        <v>2</v>
      </c>
      <c r="EG42" s="17">
        <v>2</v>
      </c>
      <c r="EH42" s="17"/>
      <c r="EI42" s="17"/>
      <c r="EJ42" s="17"/>
      <c r="EK42" s="17"/>
      <c r="EL42" s="17"/>
      <c r="EM42" s="17">
        <v>1</v>
      </c>
      <c r="EN42" s="17">
        <v>1</v>
      </c>
      <c r="EO42" s="17">
        <v>2</v>
      </c>
      <c r="EP42" s="17"/>
      <c r="EQ42" s="17"/>
      <c r="ER42" s="17">
        <v>1</v>
      </c>
      <c r="ES42" s="17">
        <v>1</v>
      </c>
      <c r="ET42" s="17">
        <v>1</v>
      </c>
      <c r="EU42" s="17"/>
      <c r="EV42" s="17">
        <v>2</v>
      </c>
      <c r="EW42" s="17"/>
      <c r="EX42" s="17"/>
      <c r="EY42" s="17"/>
      <c r="EZ42" s="17"/>
      <c r="FA42" s="17">
        <v>2</v>
      </c>
      <c r="FB42" s="17">
        <v>1</v>
      </c>
      <c r="FC42" s="17">
        <v>2</v>
      </c>
      <c r="FD42" s="17">
        <v>2</v>
      </c>
      <c r="FE42" s="17">
        <v>2</v>
      </c>
      <c r="FF42" s="17">
        <v>1</v>
      </c>
      <c r="FG42" s="17">
        <v>2</v>
      </c>
      <c r="FH42" s="17">
        <v>1</v>
      </c>
      <c r="FI42" s="17">
        <v>2</v>
      </c>
      <c r="FJ42" s="17">
        <v>1</v>
      </c>
      <c r="FK42" s="17">
        <v>1</v>
      </c>
      <c r="FL42" s="17">
        <v>2</v>
      </c>
      <c r="FM42" s="17">
        <v>1</v>
      </c>
      <c r="FN42" s="17">
        <v>2</v>
      </c>
      <c r="FO42" s="17">
        <v>2</v>
      </c>
      <c r="FP42" s="17">
        <v>2</v>
      </c>
      <c r="FQ42" s="17">
        <v>1</v>
      </c>
      <c r="FR42" s="17">
        <v>2</v>
      </c>
      <c r="FS42" s="17">
        <v>1</v>
      </c>
      <c r="FT42" s="17">
        <v>2</v>
      </c>
      <c r="FU42" s="17">
        <v>1</v>
      </c>
      <c r="FV42" s="17">
        <v>2</v>
      </c>
      <c r="FW42" s="17">
        <v>1</v>
      </c>
      <c r="FX42" s="17">
        <v>1</v>
      </c>
      <c r="FY42" s="17">
        <v>1</v>
      </c>
      <c r="FZ42" s="17">
        <v>2</v>
      </c>
      <c r="GA42" s="17"/>
      <c r="GB42" s="17"/>
      <c r="GC42" s="17">
        <v>1</v>
      </c>
      <c r="GD42" s="17"/>
      <c r="GE42" s="17"/>
      <c r="GF42" s="17"/>
      <c r="GG42" s="17"/>
      <c r="GH42" s="17"/>
      <c r="GI42" s="17">
        <v>2</v>
      </c>
      <c r="GJ42" s="17"/>
      <c r="GK42" s="17"/>
      <c r="GL42" s="17"/>
      <c r="GM42" s="17"/>
      <c r="GN42" s="17"/>
      <c r="GO42" s="17"/>
      <c r="GP42" s="17"/>
      <c r="GQ42" s="17">
        <v>1</v>
      </c>
      <c r="GR42" s="17">
        <v>1</v>
      </c>
      <c r="GS42" s="17">
        <v>1</v>
      </c>
      <c r="GT42" s="17"/>
      <c r="GU42" s="17"/>
      <c r="GV42" s="17">
        <v>1</v>
      </c>
      <c r="GW42" s="17">
        <v>1</v>
      </c>
      <c r="GX42" s="17">
        <v>1</v>
      </c>
      <c r="GY42" s="17">
        <v>1</v>
      </c>
      <c r="GZ42" s="17">
        <v>2</v>
      </c>
      <c r="HA42" s="17">
        <v>1</v>
      </c>
      <c r="HB42" s="17"/>
      <c r="HC42" s="17"/>
      <c r="HD42" s="17">
        <v>1</v>
      </c>
      <c r="HE42" s="17">
        <v>1</v>
      </c>
      <c r="HF42" s="17">
        <v>1</v>
      </c>
      <c r="HG42" s="17">
        <v>2</v>
      </c>
      <c r="HH42" s="17">
        <v>1</v>
      </c>
      <c r="HI42" s="17">
        <v>2</v>
      </c>
      <c r="HJ42" s="17">
        <v>1</v>
      </c>
      <c r="HK42" s="17">
        <v>1</v>
      </c>
      <c r="HL42" s="17">
        <v>2</v>
      </c>
      <c r="HM42" s="17"/>
      <c r="HN42" s="17">
        <v>1</v>
      </c>
      <c r="HO42" s="17">
        <v>1</v>
      </c>
      <c r="HP42" s="17">
        <v>1</v>
      </c>
      <c r="HQ42" s="17">
        <v>1</v>
      </c>
      <c r="HR42" s="17"/>
      <c r="HS42" s="17"/>
      <c r="HT42" s="17">
        <v>1</v>
      </c>
      <c r="HU42" s="17">
        <v>1</v>
      </c>
      <c r="HV42" s="17"/>
      <c r="HW42" s="17">
        <v>1</v>
      </c>
      <c r="HX42" s="17">
        <v>2</v>
      </c>
      <c r="HY42" s="17">
        <v>1</v>
      </c>
      <c r="HZ42" s="17">
        <v>1</v>
      </c>
      <c r="IA42" s="17">
        <v>1</v>
      </c>
      <c r="IB42" s="17">
        <v>1</v>
      </c>
      <c r="IC42" s="17">
        <v>1</v>
      </c>
      <c r="ID42" s="17">
        <v>1</v>
      </c>
      <c r="IE42" s="17"/>
      <c r="IF42" s="17">
        <v>1</v>
      </c>
      <c r="IG42" s="17"/>
      <c r="IH42" s="17">
        <v>1</v>
      </c>
      <c r="II42" s="17"/>
      <c r="IJ42" s="17"/>
      <c r="IK42" s="17">
        <v>1</v>
      </c>
      <c r="IL42" s="17">
        <v>1</v>
      </c>
      <c r="IM42" s="17"/>
      <c r="IN42" s="17">
        <v>1</v>
      </c>
      <c r="IO42" s="17"/>
      <c r="IP42" s="17">
        <v>1</v>
      </c>
      <c r="IQ42" s="17">
        <v>1</v>
      </c>
      <c r="IR42" s="17"/>
      <c r="IS42" s="17"/>
      <c r="IT42" s="17">
        <v>1</v>
      </c>
      <c r="IU42" s="17"/>
      <c r="IV42" s="17"/>
      <c r="IW42" s="17">
        <v>1</v>
      </c>
      <c r="IX42" s="17"/>
      <c r="IY42" s="17">
        <v>1</v>
      </c>
      <c r="IZ42" s="17">
        <v>1</v>
      </c>
      <c r="JA42" s="17">
        <v>1</v>
      </c>
      <c r="JB42" s="17">
        <v>1</v>
      </c>
      <c r="JC42" s="17">
        <v>1</v>
      </c>
      <c r="JD42" s="17"/>
      <c r="JE42" s="17">
        <v>2</v>
      </c>
      <c r="JF42" s="17"/>
      <c r="JG42" s="17">
        <v>2</v>
      </c>
      <c r="JH42" s="17"/>
      <c r="JI42" s="17">
        <v>2</v>
      </c>
      <c r="JJ42" s="17"/>
      <c r="JK42" s="17">
        <v>2</v>
      </c>
      <c r="JL42" s="17"/>
      <c r="JM42" s="17">
        <v>2</v>
      </c>
      <c r="JN42" s="17">
        <v>2</v>
      </c>
      <c r="JO42" s="17"/>
      <c r="JP42" s="17"/>
      <c r="JQ42" s="17">
        <v>2</v>
      </c>
      <c r="JR42" s="17"/>
      <c r="JS42" s="17"/>
      <c r="JT42" s="17"/>
      <c r="JU42" s="17">
        <v>2</v>
      </c>
      <c r="JV42" s="17"/>
      <c r="JW42" s="17"/>
      <c r="JX42" s="17">
        <v>2</v>
      </c>
      <c r="JY42" s="17">
        <v>1</v>
      </c>
      <c r="JZ42" s="17">
        <v>2</v>
      </c>
      <c r="KA42" s="17">
        <v>1</v>
      </c>
      <c r="KB42" s="17">
        <v>1</v>
      </c>
      <c r="KC42" s="17">
        <v>2</v>
      </c>
      <c r="KD42" s="17">
        <v>2</v>
      </c>
      <c r="KE42" s="17">
        <v>1</v>
      </c>
      <c r="KF42" s="17">
        <v>1</v>
      </c>
      <c r="KG42" s="17">
        <v>2</v>
      </c>
      <c r="KH42" s="17">
        <v>2</v>
      </c>
      <c r="KI42" s="17"/>
      <c r="KJ42" s="17">
        <v>2</v>
      </c>
      <c r="KK42" s="17">
        <v>2</v>
      </c>
      <c r="KL42" s="17">
        <v>1</v>
      </c>
      <c r="KM42" s="17">
        <v>2</v>
      </c>
      <c r="KN42" s="17">
        <v>1</v>
      </c>
      <c r="KO42" s="17">
        <v>1</v>
      </c>
      <c r="KP42" s="17">
        <v>2</v>
      </c>
      <c r="KQ42" s="17">
        <v>1</v>
      </c>
      <c r="KR42" s="17">
        <v>1</v>
      </c>
      <c r="KS42" s="17"/>
      <c r="KT42" s="17">
        <v>1</v>
      </c>
      <c r="KU42" s="17">
        <v>1</v>
      </c>
      <c r="KV42" s="17"/>
      <c r="KW42" s="17">
        <v>1</v>
      </c>
      <c r="KX42" s="17">
        <v>1</v>
      </c>
      <c r="KY42" s="17">
        <v>1</v>
      </c>
      <c r="KZ42" s="17"/>
      <c r="LA42" s="17">
        <v>1</v>
      </c>
      <c r="LB42" s="17"/>
      <c r="LC42" s="17">
        <v>1</v>
      </c>
      <c r="LD42" s="17"/>
      <c r="LE42" s="17"/>
      <c r="LF42" s="17"/>
      <c r="LG42" s="17">
        <v>1</v>
      </c>
      <c r="LH42" s="17">
        <v>1</v>
      </c>
      <c r="LI42" s="17">
        <v>1</v>
      </c>
      <c r="LJ42" s="17">
        <v>2</v>
      </c>
      <c r="LK42" s="17">
        <v>1</v>
      </c>
      <c r="LL42" s="17">
        <v>1</v>
      </c>
      <c r="LM42" s="17">
        <v>1</v>
      </c>
      <c r="LN42" s="17">
        <v>1</v>
      </c>
      <c r="LO42" s="17"/>
      <c r="LP42" s="17">
        <v>1</v>
      </c>
      <c r="LQ42" s="17">
        <v>1</v>
      </c>
      <c r="LR42" s="17">
        <v>2</v>
      </c>
      <c r="LS42" s="17"/>
      <c r="LT42" s="17">
        <v>1</v>
      </c>
      <c r="LU42" s="17"/>
      <c r="LV42" s="17">
        <v>1</v>
      </c>
      <c r="LW42" s="17">
        <v>1</v>
      </c>
      <c r="LX42" s="17"/>
      <c r="LY42" s="17"/>
      <c r="LZ42" s="17">
        <v>1</v>
      </c>
      <c r="MA42" s="17">
        <v>1</v>
      </c>
      <c r="MB42" s="17">
        <v>1</v>
      </c>
      <c r="MC42" s="17">
        <v>1</v>
      </c>
      <c r="MD42" s="17">
        <v>1</v>
      </c>
      <c r="ME42" s="17">
        <v>1</v>
      </c>
      <c r="MF42" s="17"/>
      <c r="MG42" s="17"/>
      <c r="MH42" s="17"/>
      <c r="MI42" s="17">
        <v>1</v>
      </c>
      <c r="MJ42" s="17">
        <v>1</v>
      </c>
      <c r="MK42" s="17"/>
      <c r="ML42" s="17"/>
      <c r="MM42" s="17">
        <v>1</v>
      </c>
      <c r="MN42" s="17"/>
      <c r="MO42" s="17"/>
      <c r="MP42" s="17">
        <v>2</v>
      </c>
      <c r="MQ42" s="17"/>
      <c r="MR42" s="17">
        <v>1</v>
      </c>
      <c r="MS42" s="17"/>
      <c r="MT42" s="17"/>
      <c r="MU42" s="17"/>
      <c r="MV42" s="17"/>
      <c r="MW42" s="17"/>
      <c r="MX42" s="17"/>
      <c r="MY42" s="17"/>
      <c r="MZ42" s="17"/>
      <c r="NA42" s="17"/>
      <c r="NB42" s="17">
        <v>1</v>
      </c>
      <c r="NC42" s="17">
        <v>1</v>
      </c>
      <c r="ND42" s="17">
        <v>1</v>
      </c>
      <c r="NE42" s="17"/>
      <c r="NF42" s="17"/>
      <c r="NG42" s="17">
        <v>1</v>
      </c>
      <c r="NH42" s="17">
        <v>1</v>
      </c>
      <c r="NI42" s="17">
        <v>1</v>
      </c>
      <c r="NJ42" s="17">
        <v>1</v>
      </c>
      <c r="NK42" s="17">
        <v>1</v>
      </c>
      <c r="NL42" s="17">
        <v>1</v>
      </c>
      <c r="NM42" s="17">
        <v>1</v>
      </c>
      <c r="NN42" s="17"/>
      <c r="NO42" s="17">
        <v>1</v>
      </c>
      <c r="NP42" s="17"/>
      <c r="NQ42" s="17"/>
      <c r="NR42" s="17">
        <v>1</v>
      </c>
      <c r="NS42" s="17">
        <v>1</v>
      </c>
      <c r="NT42" s="17">
        <v>1</v>
      </c>
      <c r="NU42" s="17"/>
      <c r="NV42" s="17">
        <v>2</v>
      </c>
      <c r="NW42" s="17">
        <v>1</v>
      </c>
      <c r="NX42" s="17">
        <v>1</v>
      </c>
      <c r="NY42" s="17"/>
      <c r="NZ42" s="17">
        <v>1</v>
      </c>
      <c r="OA42" s="17">
        <v>1</v>
      </c>
      <c r="OB42" s="17"/>
      <c r="OC42" s="17"/>
      <c r="OD42" s="17"/>
      <c r="OE42" s="17"/>
      <c r="OF42" s="17"/>
      <c r="OG42" s="17">
        <v>1</v>
      </c>
      <c r="OH42" s="17">
        <v>1</v>
      </c>
      <c r="OI42" s="17"/>
      <c r="OJ42" s="17"/>
      <c r="OK42" s="17">
        <v>1</v>
      </c>
      <c r="OL42" s="17">
        <v>1</v>
      </c>
      <c r="OM42" s="17"/>
      <c r="ON42" s="17"/>
      <c r="OO42" s="17"/>
      <c r="OP42" s="17"/>
      <c r="OQ42" s="17"/>
      <c r="OR42" s="17">
        <v>2</v>
      </c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>
        <v>2</v>
      </c>
      <c r="PM42" s="17"/>
      <c r="PN42" s="17"/>
      <c r="PO42" s="17"/>
      <c r="PP42" s="17">
        <v>1</v>
      </c>
      <c r="PQ42" s="17">
        <v>2</v>
      </c>
      <c r="PR42" s="17"/>
      <c r="PS42" s="17">
        <v>1</v>
      </c>
      <c r="PT42" s="17">
        <v>1</v>
      </c>
      <c r="PU42" s="17"/>
      <c r="PV42" s="17">
        <v>1</v>
      </c>
      <c r="PW42" s="17" t="s">
        <v>506</v>
      </c>
      <c r="PX42" s="17"/>
      <c r="PY42" s="17" t="s">
        <v>508</v>
      </c>
      <c r="PZ42" s="17" t="s">
        <v>506</v>
      </c>
      <c r="QA42" s="17" t="s">
        <v>507</v>
      </c>
      <c r="QB42" s="17" t="s">
        <v>506</v>
      </c>
      <c r="QC42" s="17" t="s">
        <v>506</v>
      </c>
      <c r="QD42" s="17" t="s">
        <v>508</v>
      </c>
      <c r="QE42" s="17" t="s">
        <v>508</v>
      </c>
      <c r="QF42" s="17" t="s">
        <v>508</v>
      </c>
      <c r="QG42" s="17" t="s">
        <v>508</v>
      </c>
      <c r="QH42" s="17" t="s">
        <v>508</v>
      </c>
      <c r="QI42" s="17">
        <v>1</v>
      </c>
      <c r="QJ42" s="17">
        <v>0</v>
      </c>
      <c r="QK42" s="17">
        <v>0</v>
      </c>
      <c r="QL42" s="17">
        <v>1</v>
      </c>
      <c r="QM42" s="17">
        <v>1</v>
      </c>
      <c r="QN42" s="17">
        <v>1</v>
      </c>
      <c r="QO42" s="17">
        <v>1</v>
      </c>
      <c r="QP42" s="17">
        <v>1</v>
      </c>
      <c r="QQ42" s="17">
        <v>1</v>
      </c>
      <c r="QR42" s="17">
        <v>1</v>
      </c>
      <c r="QS42" s="17">
        <v>1</v>
      </c>
      <c r="QT42" s="17">
        <v>1</v>
      </c>
      <c r="QU42" s="17">
        <v>1</v>
      </c>
      <c r="QV42" s="17">
        <v>1</v>
      </c>
      <c r="QW42" s="17">
        <v>0</v>
      </c>
      <c r="QX42" s="17">
        <v>1</v>
      </c>
      <c r="QY42" s="17">
        <v>0</v>
      </c>
      <c r="QZ42" s="17">
        <v>1</v>
      </c>
      <c r="RA42" s="17">
        <v>0</v>
      </c>
      <c r="RB42" s="17">
        <v>1</v>
      </c>
      <c r="RC42" s="17">
        <v>1</v>
      </c>
      <c r="RD42" s="17">
        <v>0</v>
      </c>
      <c r="RE42" s="17">
        <v>0</v>
      </c>
      <c r="RF42" s="17">
        <v>1</v>
      </c>
      <c r="RG42" s="17">
        <v>1</v>
      </c>
      <c r="RH42" s="17">
        <v>1</v>
      </c>
      <c r="RI42" s="17">
        <v>0</v>
      </c>
      <c r="RJ42" s="17">
        <v>1</v>
      </c>
      <c r="RK42" s="17">
        <v>0</v>
      </c>
      <c r="RL42" s="17">
        <v>1</v>
      </c>
      <c r="RM42" s="17">
        <v>0</v>
      </c>
      <c r="RN42" s="17">
        <v>1</v>
      </c>
      <c r="RO42" s="17">
        <v>0</v>
      </c>
      <c r="RP42" s="17">
        <v>0</v>
      </c>
      <c r="RQ42" s="17">
        <v>0</v>
      </c>
      <c r="RR42" s="17">
        <v>0</v>
      </c>
      <c r="RS42" s="17">
        <v>1</v>
      </c>
      <c r="RT42" s="17">
        <v>1</v>
      </c>
      <c r="RU42" s="17">
        <v>0</v>
      </c>
      <c r="RV42" s="17">
        <v>0</v>
      </c>
      <c r="RW42" s="17">
        <v>1</v>
      </c>
      <c r="RX42" s="17">
        <v>1</v>
      </c>
      <c r="RY42" s="17">
        <v>0</v>
      </c>
      <c r="RZ42" s="17">
        <v>1</v>
      </c>
      <c r="SA42" s="17">
        <v>1</v>
      </c>
      <c r="SB42" s="17">
        <v>1</v>
      </c>
      <c r="SC42" s="17">
        <v>0</v>
      </c>
      <c r="SD42" s="17">
        <v>0</v>
      </c>
      <c r="SE42" s="17">
        <v>1</v>
      </c>
      <c r="SF42" s="17">
        <v>0</v>
      </c>
      <c r="SG42" s="17">
        <v>1</v>
      </c>
      <c r="SH42" s="17">
        <v>1</v>
      </c>
      <c r="SI42" s="17">
        <v>10043</v>
      </c>
      <c r="SJ42" s="19">
        <f t="shared" si="3"/>
        <v>168</v>
      </c>
      <c r="SK42" s="19">
        <f t="shared" si="4"/>
        <v>248</v>
      </c>
      <c r="SL42" s="19">
        <f t="shared" si="5"/>
        <v>80</v>
      </c>
      <c r="SM42" s="9">
        <v>10043</v>
      </c>
      <c r="SN42" s="9" t="s">
        <v>509</v>
      </c>
      <c r="SO42" s="10">
        <v>3</v>
      </c>
      <c r="SP42" s="9">
        <v>3</v>
      </c>
      <c r="SQ42" s="11" t="s">
        <v>517</v>
      </c>
      <c r="SR42" s="9">
        <v>16</v>
      </c>
      <c r="SS42" s="28">
        <v>58</v>
      </c>
      <c r="ST42" s="28">
        <v>16</v>
      </c>
      <c r="SU42" s="28">
        <v>247</v>
      </c>
      <c r="SV42" s="28">
        <v>64</v>
      </c>
      <c r="SW42" s="28">
        <v>80</v>
      </c>
      <c r="SX42" s="28">
        <v>72</v>
      </c>
      <c r="SY42" s="29">
        <v>37</v>
      </c>
      <c r="SZ42" s="30">
        <v>24</v>
      </c>
      <c r="TA42" s="31">
        <v>25</v>
      </c>
      <c r="TB42" s="31">
        <v>60</v>
      </c>
    </row>
    <row r="43" spans="1:522" ht="15.75" customHeight="1" x14ac:dyDescent="0.2">
      <c r="A43" s="17">
        <v>10044</v>
      </c>
      <c r="B43" s="17" t="s">
        <v>501</v>
      </c>
      <c r="C43" s="17" t="s">
        <v>502</v>
      </c>
      <c r="D43" s="17" t="s">
        <v>512</v>
      </c>
      <c r="E43" s="17" t="s">
        <v>509</v>
      </c>
      <c r="F43" s="18">
        <v>38035</v>
      </c>
      <c r="G43" s="18">
        <v>38534</v>
      </c>
      <c r="H43" s="14">
        <f t="shared" si="2"/>
        <v>16</v>
      </c>
      <c r="I43" s="17" t="s">
        <v>505</v>
      </c>
      <c r="J43" s="17">
        <v>1</v>
      </c>
      <c r="K43" s="17">
        <v>1</v>
      </c>
      <c r="L43" s="17">
        <v>1</v>
      </c>
      <c r="M43" s="17"/>
      <c r="N43" s="17"/>
      <c r="O43" s="17">
        <v>1</v>
      </c>
      <c r="P43" s="17"/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/>
      <c r="W43" s="17"/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/>
      <c r="AE43" s="17"/>
      <c r="AF43" s="17">
        <v>1</v>
      </c>
      <c r="AG43" s="17">
        <v>1</v>
      </c>
      <c r="AH43" s="17">
        <v>1</v>
      </c>
      <c r="AI43" s="17">
        <v>1</v>
      </c>
      <c r="AJ43" s="17"/>
      <c r="AK43" s="17">
        <v>1</v>
      </c>
      <c r="AL43" s="17">
        <v>1</v>
      </c>
      <c r="AM43" s="17"/>
      <c r="AN43" s="17">
        <v>1</v>
      </c>
      <c r="AO43" s="17" t="s">
        <v>506</v>
      </c>
      <c r="AP43" s="17" t="s">
        <v>507</v>
      </c>
      <c r="AQ43" s="17">
        <v>2</v>
      </c>
      <c r="AR43" s="17">
        <v>2</v>
      </c>
      <c r="AS43" s="17"/>
      <c r="AT43" s="17"/>
      <c r="AU43" s="17">
        <v>2</v>
      </c>
      <c r="AV43" s="17">
        <v>2</v>
      </c>
      <c r="AW43" s="17">
        <v>1</v>
      </c>
      <c r="AX43" s="17">
        <v>2</v>
      </c>
      <c r="AY43" s="17">
        <v>2</v>
      </c>
      <c r="AZ43" s="17"/>
      <c r="BA43" s="17">
        <v>2</v>
      </c>
      <c r="BB43" s="17">
        <v>2</v>
      </c>
      <c r="BC43" s="17"/>
      <c r="BD43" s="17">
        <v>1</v>
      </c>
      <c r="BE43" s="17">
        <v>1</v>
      </c>
      <c r="BF43" s="17">
        <v>2</v>
      </c>
      <c r="BG43" s="17"/>
      <c r="BH43" s="17">
        <v>2</v>
      </c>
      <c r="BI43" s="17">
        <v>1</v>
      </c>
      <c r="BJ43" s="17">
        <v>1</v>
      </c>
      <c r="BK43" s="17">
        <v>1</v>
      </c>
      <c r="BL43" s="17">
        <v>2</v>
      </c>
      <c r="BM43" s="17"/>
      <c r="BN43" s="17">
        <v>2</v>
      </c>
      <c r="BO43" s="17"/>
      <c r="BP43" s="17">
        <v>2</v>
      </c>
      <c r="BQ43" s="17">
        <v>1</v>
      </c>
      <c r="BR43" s="17">
        <v>1</v>
      </c>
      <c r="BS43" s="17">
        <v>1</v>
      </c>
      <c r="BT43" s="17"/>
      <c r="BU43" s="17"/>
      <c r="BV43" s="17">
        <v>1</v>
      </c>
      <c r="BW43" s="17">
        <v>1</v>
      </c>
      <c r="BX43" s="17">
        <v>1</v>
      </c>
      <c r="BY43" s="17"/>
      <c r="BZ43" s="17">
        <v>1</v>
      </c>
      <c r="CA43" s="17"/>
      <c r="CB43" s="17">
        <v>2</v>
      </c>
      <c r="CC43" s="17"/>
      <c r="CD43" s="17">
        <v>2</v>
      </c>
      <c r="CE43" s="17">
        <v>2</v>
      </c>
      <c r="CF43" s="17">
        <v>2</v>
      </c>
      <c r="CG43" s="17">
        <v>1</v>
      </c>
      <c r="CH43" s="17"/>
      <c r="CI43" s="17">
        <v>2</v>
      </c>
      <c r="CJ43" s="17"/>
      <c r="CK43" s="17"/>
      <c r="CL43" s="17">
        <v>2</v>
      </c>
      <c r="CM43" s="17">
        <v>2</v>
      </c>
      <c r="CN43" s="17">
        <v>1</v>
      </c>
      <c r="CO43" s="17"/>
      <c r="CP43" s="17">
        <v>2</v>
      </c>
      <c r="CQ43" s="17"/>
      <c r="CR43" s="17"/>
      <c r="CS43" s="17">
        <v>1</v>
      </c>
      <c r="CT43" s="17">
        <v>2</v>
      </c>
      <c r="CU43" s="17"/>
      <c r="CV43" s="17">
        <v>2</v>
      </c>
      <c r="CW43" s="17">
        <v>2</v>
      </c>
      <c r="CX43" s="17">
        <v>1</v>
      </c>
      <c r="CY43" s="17">
        <v>1</v>
      </c>
      <c r="CZ43" s="17">
        <v>1</v>
      </c>
      <c r="DA43" s="17">
        <v>2</v>
      </c>
      <c r="DB43" s="17"/>
      <c r="DC43" s="17">
        <v>1</v>
      </c>
      <c r="DD43" s="17">
        <v>2</v>
      </c>
      <c r="DE43" s="17">
        <v>2</v>
      </c>
      <c r="DF43" s="17">
        <v>1</v>
      </c>
      <c r="DG43" s="17"/>
      <c r="DH43" s="17"/>
      <c r="DI43" s="17"/>
      <c r="DJ43" s="17">
        <v>1</v>
      </c>
      <c r="DK43" s="17">
        <v>1</v>
      </c>
      <c r="DL43" s="17">
        <v>2</v>
      </c>
      <c r="DM43" s="17">
        <v>2</v>
      </c>
      <c r="DN43" s="17"/>
      <c r="DO43" s="17"/>
      <c r="DP43" s="17">
        <v>1</v>
      </c>
      <c r="DQ43" s="17">
        <v>2</v>
      </c>
      <c r="DR43" s="17">
        <v>1</v>
      </c>
      <c r="DS43" s="17"/>
      <c r="DT43" s="17"/>
      <c r="DU43" s="17">
        <v>1</v>
      </c>
      <c r="DV43" s="17"/>
      <c r="DW43" s="17"/>
      <c r="DX43" s="17"/>
      <c r="DY43" s="17">
        <v>1</v>
      </c>
      <c r="DZ43" s="17"/>
      <c r="EA43" s="17"/>
      <c r="EB43" s="17">
        <v>1</v>
      </c>
      <c r="EC43" s="17"/>
      <c r="ED43" s="17"/>
      <c r="EE43" s="17"/>
      <c r="EF43" s="17">
        <v>2</v>
      </c>
      <c r="EG43" s="17">
        <v>1</v>
      </c>
      <c r="EH43" s="17"/>
      <c r="EI43" s="17">
        <v>1</v>
      </c>
      <c r="EJ43" s="17">
        <v>1</v>
      </c>
      <c r="EK43" s="17">
        <v>1</v>
      </c>
      <c r="EL43" s="17"/>
      <c r="EM43" s="17">
        <v>1</v>
      </c>
      <c r="EN43" s="17">
        <v>1</v>
      </c>
      <c r="EO43" s="17">
        <v>2</v>
      </c>
      <c r="EP43" s="17"/>
      <c r="EQ43" s="17"/>
      <c r="ER43" s="17">
        <v>1</v>
      </c>
      <c r="ES43" s="17"/>
      <c r="ET43" s="17">
        <v>1</v>
      </c>
      <c r="EU43" s="17"/>
      <c r="EV43" s="17">
        <v>1</v>
      </c>
      <c r="EW43" s="17"/>
      <c r="EX43" s="17">
        <v>1</v>
      </c>
      <c r="EY43" s="17"/>
      <c r="EZ43" s="17">
        <v>1</v>
      </c>
      <c r="FA43" s="17"/>
      <c r="FB43" s="17"/>
      <c r="FC43" s="17"/>
      <c r="FD43" s="17">
        <v>1</v>
      </c>
      <c r="FE43" s="17">
        <v>1</v>
      </c>
      <c r="FF43" s="17"/>
      <c r="FG43" s="17">
        <v>1</v>
      </c>
      <c r="FH43" s="17"/>
      <c r="FI43" s="17">
        <v>1</v>
      </c>
      <c r="FJ43" s="17"/>
      <c r="FK43" s="17">
        <v>1</v>
      </c>
      <c r="FL43" s="17"/>
      <c r="FM43" s="17"/>
      <c r="FN43" s="17"/>
      <c r="FO43" s="17">
        <v>2</v>
      </c>
      <c r="FP43" s="17"/>
      <c r="FQ43" s="17">
        <v>2</v>
      </c>
      <c r="FR43" s="17"/>
      <c r="FS43" s="17">
        <v>1</v>
      </c>
      <c r="FT43" s="17">
        <v>2</v>
      </c>
      <c r="FU43" s="17">
        <v>1</v>
      </c>
      <c r="FV43" s="17">
        <v>1</v>
      </c>
      <c r="FW43" s="17">
        <v>1</v>
      </c>
      <c r="FX43" s="17"/>
      <c r="FY43" s="17"/>
      <c r="FZ43" s="17">
        <v>2</v>
      </c>
      <c r="GA43" s="17">
        <v>1</v>
      </c>
      <c r="GB43" s="17"/>
      <c r="GC43" s="17">
        <v>2</v>
      </c>
      <c r="GD43" s="17"/>
      <c r="GE43" s="17">
        <v>1</v>
      </c>
      <c r="GF43" s="17"/>
      <c r="GG43" s="17">
        <v>1</v>
      </c>
      <c r="GH43" s="17"/>
      <c r="GI43" s="17">
        <v>2</v>
      </c>
      <c r="GJ43" s="17"/>
      <c r="GK43" s="17"/>
      <c r="GL43" s="17"/>
      <c r="GM43" s="17"/>
      <c r="GN43" s="17">
        <v>1</v>
      </c>
      <c r="GO43" s="17"/>
      <c r="GP43" s="17"/>
      <c r="GQ43" s="17">
        <v>1</v>
      </c>
      <c r="GR43" s="17">
        <v>1</v>
      </c>
      <c r="GS43" s="17"/>
      <c r="GT43" s="17">
        <v>1</v>
      </c>
      <c r="GU43" s="17"/>
      <c r="GV43" s="17"/>
      <c r="GW43" s="17"/>
      <c r="GX43" s="17">
        <v>1</v>
      </c>
      <c r="GY43" s="17">
        <v>1</v>
      </c>
      <c r="GZ43" s="17">
        <v>1</v>
      </c>
      <c r="HA43" s="17">
        <v>2</v>
      </c>
      <c r="HB43" s="17">
        <v>1</v>
      </c>
      <c r="HC43" s="17"/>
      <c r="HD43" s="17">
        <v>1</v>
      </c>
      <c r="HE43" s="17"/>
      <c r="HF43" s="17">
        <v>2</v>
      </c>
      <c r="HG43" s="17">
        <v>1</v>
      </c>
      <c r="HH43" s="17"/>
      <c r="HI43" s="17">
        <v>1</v>
      </c>
      <c r="HJ43" s="17"/>
      <c r="HK43" s="17">
        <v>1</v>
      </c>
      <c r="HL43" s="17">
        <v>1</v>
      </c>
      <c r="HM43" s="17">
        <v>1</v>
      </c>
      <c r="HN43" s="17"/>
      <c r="HO43" s="17">
        <v>1</v>
      </c>
      <c r="HP43" s="17"/>
      <c r="HQ43" s="17"/>
      <c r="HR43" s="17"/>
      <c r="HS43" s="17"/>
      <c r="HT43" s="17"/>
      <c r="HU43" s="17"/>
      <c r="HV43" s="17"/>
      <c r="HW43" s="17"/>
      <c r="HX43" s="17">
        <v>1</v>
      </c>
      <c r="HY43" s="17"/>
      <c r="HZ43" s="17">
        <v>1</v>
      </c>
      <c r="IA43" s="17">
        <v>1</v>
      </c>
      <c r="IB43" s="17"/>
      <c r="IC43" s="17"/>
      <c r="ID43" s="17">
        <v>1</v>
      </c>
      <c r="IE43" s="17"/>
      <c r="IF43" s="17">
        <v>1</v>
      </c>
      <c r="IG43" s="17"/>
      <c r="IH43" s="17"/>
      <c r="II43" s="17">
        <v>1</v>
      </c>
      <c r="IJ43" s="17">
        <v>2</v>
      </c>
      <c r="IK43" s="17">
        <v>1</v>
      </c>
      <c r="IL43" s="17">
        <v>1</v>
      </c>
      <c r="IM43" s="17"/>
      <c r="IN43" s="17">
        <v>2</v>
      </c>
      <c r="IO43" s="17"/>
      <c r="IP43" s="17">
        <v>1</v>
      </c>
      <c r="IQ43" s="17"/>
      <c r="IR43" s="17"/>
      <c r="IS43" s="17">
        <v>1</v>
      </c>
      <c r="IT43" s="17">
        <v>1</v>
      </c>
      <c r="IU43" s="17"/>
      <c r="IV43" s="17">
        <v>2</v>
      </c>
      <c r="IW43" s="17"/>
      <c r="IX43" s="17">
        <v>1</v>
      </c>
      <c r="IY43" s="17">
        <v>1</v>
      </c>
      <c r="IZ43" s="17">
        <v>1</v>
      </c>
      <c r="JA43" s="17">
        <v>2</v>
      </c>
      <c r="JB43" s="17"/>
      <c r="JC43" s="17">
        <v>1</v>
      </c>
      <c r="JD43" s="17"/>
      <c r="JE43" s="17">
        <v>2</v>
      </c>
      <c r="JF43" s="17">
        <v>1</v>
      </c>
      <c r="JG43" s="17">
        <v>1</v>
      </c>
      <c r="JH43" s="17"/>
      <c r="JI43" s="17">
        <v>1</v>
      </c>
      <c r="JJ43" s="17"/>
      <c r="JK43" s="17">
        <v>2</v>
      </c>
      <c r="JL43" s="17"/>
      <c r="JM43" s="17">
        <v>2</v>
      </c>
      <c r="JN43" s="17">
        <v>2</v>
      </c>
      <c r="JO43" s="17"/>
      <c r="JP43" s="17"/>
      <c r="JQ43" s="17">
        <v>2</v>
      </c>
      <c r="JR43" s="17">
        <v>1</v>
      </c>
      <c r="JS43" s="17">
        <v>1</v>
      </c>
      <c r="JT43" s="17"/>
      <c r="JU43" s="17"/>
      <c r="JV43" s="17"/>
      <c r="JW43" s="17"/>
      <c r="JX43" s="17">
        <v>2</v>
      </c>
      <c r="JY43" s="17">
        <v>1</v>
      </c>
      <c r="JZ43" s="17">
        <v>1</v>
      </c>
      <c r="KA43" s="17">
        <v>2</v>
      </c>
      <c r="KB43" s="17"/>
      <c r="KC43" s="17">
        <v>1</v>
      </c>
      <c r="KD43" s="17">
        <v>2</v>
      </c>
      <c r="KE43" s="17">
        <v>1</v>
      </c>
      <c r="KF43" s="17">
        <v>1</v>
      </c>
      <c r="KG43" s="17">
        <v>2</v>
      </c>
      <c r="KH43" s="17">
        <v>2</v>
      </c>
      <c r="KI43" s="17">
        <v>1</v>
      </c>
      <c r="KJ43" s="17">
        <v>2</v>
      </c>
      <c r="KK43" s="17"/>
      <c r="KL43" s="17">
        <v>1</v>
      </c>
      <c r="KM43" s="17"/>
      <c r="KN43" s="17"/>
      <c r="KO43" s="17"/>
      <c r="KP43" s="17">
        <v>1</v>
      </c>
      <c r="KQ43" s="17"/>
      <c r="KR43" s="17"/>
      <c r="KS43" s="17"/>
      <c r="KT43" s="17">
        <v>1</v>
      </c>
      <c r="KU43" s="17">
        <v>2</v>
      </c>
      <c r="KV43" s="17"/>
      <c r="KW43" s="17">
        <v>1</v>
      </c>
      <c r="KX43" s="17"/>
      <c r="KY43" s="17">
        <v>1</v>
      </c>
      <c r="KZ43" s="17">
        <v>1</v>
      </c>
      <c r="LA43" s="17">
        <v>1</v>
      </c>
      <c r="LB43" s="17"/>
      <c r="LC43" s="17"/>
      <c r="LD43" s="17"/>
      <c r="LE43" s="17"/>
      <c r="LF43" s="17"/>
      <c r="LG43" s="17">
        <v>1</v>
      </c>
      <c r="LH43" s="17"/>
      <c r="LI43" s="17"/>
      <c r="LJ43" s="17"/>
      <c r="LK43" s="17"/>
      <c r="LL43" s="17">
        <v>1</v>
      </c>
      <c r="LM43" s="17"/>
      <c r="LN43" s="17"/>
      <c r="LO43" s="17">
        <v>1</v>
      </c>
      <c r="LP43" s="17">
        <v>1</v>
      </c>
      <c r="LQ43" s="17"/>
      <c r="LR43" s="17"/>
      <c r="LS43" s="17">
        <v>1</v>
      </c>
      <c r="LT43" s="17"/>
      <c r="LU43" s="17"/>
      <c r="LV43" s="17"/>
      <c r="LW43" s="17"/>
      <c r="LX43" s="17">
        <v>1</v>
      </c>
      <c r="LY43" s="17"/>
      <c r="LZ43" s="17"/>
      <c r="MA43" s="17"/>
      <c r="MB43" s="17"/>
      <c r="MC43" s="17"/>
      <c r="MD43" s="17"/>
      <c r="ME43" s="17"/>
      <c r="MF43" s="17"/>
      <c r="MG43" s="17">
        <v>1</v>
      </c>
      <c r="MH43" s="17"/>
      <c r="MI43" s="17"/>
      <c r="MJ43" s="17"/>
      <c r="MK43" s="17"/>
      <c r="ML43" s="17">
        <v>1</v>
      </c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>
        <v>2</v>
      </c>
      <c r="NC43" s="17"/>
      <c r="ND43" s="17"/>
      <c r="NE43" s="17"/>
      <c r="NF43" s="17"/>
      <c r="NG43" s="17"/>
      <c r="NH43" s="17">
        <v>1</v>
      </c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>
        <v>2</v>
      </c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>
        <v>1</v>
      </c>
      <c r="OL43" s="17">
        <v>1</v>
      </c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>
        <v>2</v>
      </c>
      <c r="PF43" s="17">
        <v>2</v>
      </c>
      <c r="PG43" s="17"/>
      <c r="PH43" s="17"/>
      <c r="PI43" s="17">
        <v>1</v>
      </c>
      <c r="PJ43" s="17">
        <v>2</v>
      </c>
      <c r="PK43" s="17">
        <v>2</v>
      </c>
      <c r="PL43" s="17"/>
      <c r="PM43" s="17"/>
      <c r="PN43" s="17">
        <v>2</v>
      </c>
      <c r="PO43" s="17"/>
      <c r="PP43" s="17"/>
      <c r="PQ43" s="17">
        <v>2</v>
      </c>
      <c r="PR43" s="17"/>
      <c r="PS43" s="17"/>
      <c r="PT43" s="17"/>
      <c r="PU43" s="17"/>
      <c r="PV43" s="17"/>
      <c r="PW43" s="17"/>
      <c r="PX43" s="17" t="s">
        <v>506</v>
      </c>
      <c r="PY43" s="17" t="s">
        <v>506</v>
      </c>
      <c r="PZ43" s="17" t="s">
        <v>507</v>
      </c>
      <c r="QA43" s="17" t="s">
        <v>506</v>
      </c>
      <c r="QB43" s="17" t="s">
        <v>506</v>
      </c>
      <c r="QC43" s="17" t="s">
        <v>508</v>
      </c>
      <c r="QD43" s="17" t="s">
        <v>507</v>
      </c>
      <c r="QE43" s="17" t="s">
        <v>506</v>
      </c>
      <c r="QF43" s="17" t="s">
        <v>508</v>
      </c>
      <c r="QG43" s="17" t="s">
        <v>506</v>
      </c>
      <c r="QH43" s="17" t="s">
        <v>507</v>
      </c>
      <c r="QI43" s="17">
        <v>1</v>
      </c>
      <c r="QJ43" s="17">
        <v>0</v>
      </c>
      <c r="QK43" s="17">
        <v>1</v>
      </c>
      <c r="QL43" s="17">
        <v>1</v>
      </c>
      <c r="QM43" s="17">
        <v>1</v>
      </c>
      <c r="QN43" s="17">
        <v>1</v>
      </c>
      <c r="QO43" s="17">
        <v>1</v>
      </c>
      <c r="QP43" s="17">
        <v>1</v>
      </c>
      <c r="QQ43" s="17">
        <v>1</v>
      </c>
      <c r="QR43" s="17">
        <v>1</v>
      </c>
      <c r="QS43" s="17"/>
      <c r="QT43" s="17">
        <v>1</v>
      </c>
      <c r="QU43" s="17">
        <v>1</v>
      </c>
      <c r="QV43" s="17">
        <v>1</v>
      </c>
      <c r="QW43" s="17">
        <v>1</v>
      </c>
      <c r="QX43" s="17">
        <v>1</v>
      </c>
      <c r="QY43" s="17"/>
      <c r="QZ43" s="17">
        <v>1</v>
      </c>
      <c r="RA43" s="17">
        <v>1</v>
      </c>
      <c r="RB43" s="17">
        <v>1</v>
      </c>
      <c r="RC43" s="17">
        <v>1</v>
      </c>
      <c r="RD43" s="17">
        <v>1</v>
      </c>
      <c r="RE43" s="17">
        <v>1</v>
      </c>
      <c r="RF43" s="17">
        <v>1</v>
      </c>
      <c r="RG43" s="17">
        <v>1</v>
      </c>
      <c r="RH43" s="17">
        <v>1</v>
      </c>
      <c r="RI43" s="17"/>
      <c r="RJ43" s="17"/>
      <c r="RK43" s="17"/>
      <c r="RL43" s="17">
        <v>1</v>
      </c>
      <c r="RM43" s="17"/>
      <c r="RN43" s="17">
        <v>1</v>
      </c>
      <c r="RO43" s="17">
        <v>1</v>
      </c>
      <c r="RP43" s="17"/>
      <c r="RQ43" s="17"/>
      <c r="RR43" s="17"/>
      <c r="RS43" s="17">
        <v>1</v>
      </c>
      <c r="RT43" s="17">
        <v>1</v>
      </c>
      <c r="RU43" s="17">
        <v>1</v>
      </c>
      <c r="RV43" s="17"/>
      <c r="RW43" s="17">
        <v>1</v>
      </c>
      <c r="RX43" s="17">
        <v>1</v>
      </c>
      <c r="RY43" s="17"/>
      <c r="RZ43" s="17"/>
      <c r="SA43" s="17">
        <v>1</v>
      </c>
      <c r="SB43" s="17">
        <v>1</v>
      </c>
      <c r="SC43" s="17"/>
      <c r="SD43" s="17"/>
      <c r="SE43" s="17">
        <v>1</v>
      </c>
      <c r="SF43" s="17">
        <v>1</v>
      </c>
      <c r="SG43" s="17">
        <v>1</v>
      </c>
      <c r="SH43" s="17"/>
      <c r="SI43" s="17">
        <v>10044</v>
      </c>
      <c r="SJ43" s="19">
        <f t="shared" si="3"/>
        <v>111</v>
      </c>
      <c r="SK43" s="19">
        <f t="shared" si="4"/>
        <v>175</v>
      </c>
      <c r="SL43" s="19">
        <f t="shared" si="5"/>
        <v>64</v>
      </c>
      <c r="SM43" s="9">
        <v>10044</v>
      </c>
      <c r="SN43" s="9" t="s">
        <v>509</v>
      </c>
      <c r="SO43" s="10">
        <v>3</v>
      </c>
      <c r="SP43" s="9">
        <v>3</v>
      </c>
      <c r="SQ43" s="11" t="s">
        <v>517</v>
      </c>
      <c r="SR43" s="9">
        <v>16</v>
      </c>
      <c r="SS43" s="28">
        <v>66</v>
      </c>
      <c r="ST43" s="28">
        <v>16</v>
      </c>
      <c r="SU43" s="28">
        <v>174</v>
      </c>
      <c r="SV43" s="28">
        <v>37</v>
      </c>
      <c r="SW43" s="28">
        <v>64</v>
      </c>
      <c r="SX43" s="28">
        <v>64</v>
      </c>
      <c r="SY43" s="29">
        <v>45</v>
      </c>
      <c r="SZ43" s="30">
        <v>55</v>
      </c>
      <c r="TA43" s="31">
        <v>19</v>
      </c>
      <c r="TB43" s="31">
        <v>25</v>
      </c>
    </row>
    <row r="44" spans="1:522" ht="15.75" customHeight="1" x14ac:dyDescent="0.2">
      <c r="A44" s="17">
        <v>10045</v>
      </c>
      <c r="B44" s="17" t="s">
        <v>501</v>
      </c>
      <c r="C44" s="17" t="s">
        <v>502</v>
      </c>
      <c r="D44" s="17" t="s">
        <v>512</v>
      </c>
      <c r="E44" s="17" t="s">
        <v>509</v>
      </c>
      <c r="F44" s="18">
        <v>38023</v>
      </c>
      <c r="G44" s="18">
        <v>38487</v>
      </c>
      <c r="H44" s="14">
        <f t="shared" si="2"/>
        <v>15</v>
      </c>
      <c r="I44" s="17" t="s">
        <v>505</v>
      </c>
      <c r="J44" s="17">
        <v>1</v>
      </c>
      <c r="K44" s="17">
        <v>1</v>
      </c>
      <c r="L44" s="17">
        <v>1</v>
      </c>
      <c r="M44" s="17"/>
      <c r="N44" s="17"/>
      <c r="O44" s="17"/>
      <c r="P44" s="17"/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/>
      <c r="X44" s="17">
        <v>1</v>
      </c>
      <c r="Y44" s="17"/>
      <c r="Z44" s="17">
        <v>1</v>
      </c>
      <c r="AA44" s="17">
        <v>1</v>
      </c>
      <c r="AB44" s="17"/>
      <c r="AC44" s="17">
        <v>1</v>
      </c>
      <c r="AD44" s="17"/>
      <c r="AE44" s="17">
        <v>1</v>
      </c>
      <c r="AF44" s="17"/>
      <c r="AG44" s="17"/>
      <c r="AH44" s="17"/>
      <c r="AI44" s="17"/>
      <c r="AJ44" s="17">
        <v>1</v>
      </c>
      <c r="AK44" s="17"/>
      <c r="AL44" s="17"/>
      <c r="AM44" s="17">
        <v>1</v>
      </c>
      <c r="AN44" s="17"/>
      <c r="AO44" s="17" t="s">
        <v>507</v>
      </c>
      <c r="AP44" s="17" t="s">
        <v>508</v>
      </c>
      <c r="AQ44" s="17">
        <v>2</v>
      </c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>
        <v>1</v>
      </c>
      <c r="BG44" s="17"/>
      <c r="BH44" s="17"/>
      <c r="BI44" s="17"/>
      <c r="BJ44" s="17"/>
      <c r="BK44" s="17"/>
      <c r="BL44" s="17"/>
      <c r="BM44" s="17"/>
      <c r="BN44" s="17">
        <v>1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>
        <v>1</v>
      </c>
      <c r="CQ44" s="17"/>
      <c r="CR44" s="17"/>
      <c r="CS44" s="17"/>
      <c r="CT44" s="17">
        <v>1</v>
      </c>
      <c r="CU44" s="17"/>
      <c r="CV44" s="17">
        <v>2</v>
      </c>
      <c r="CW44" s="17"/>
      <c r="CX44" s="17"/>
      <c r="CY44" s="17">
        <v>1</v>
      </c>
      <c r="CZ44" s="17">
        <v>1</v>
      </c>
      <c r="DA44" s="17"/>
      <c r="DB44" s="17">
        <v>1</v>
      </c>
      <c r="DC44" s="17"/>
      <c r="DD44" s="17"/>
      <c r="DE44" s="17">
        <v>2</v>
      </c>
      <c r="DF44" s="17"/>
      <c r="DG44" s="17"/>
      <c r="DH44" s="17"/>
      <c r="DI44" s="17"/>
      <c r="DJ44" s="17"/>
      <c r="DK44" s="17"/>
      <c r="DL44" s="17"/>
      <c r="DM44" s="17">
        <v>2</v>
      </c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>
        <v>2</v>
      </c>
      <c r="EH44" s="17"/>
      <c r="EI44" s="17"/>
      <c r="EJ44" s="17"/>
      <c r="EK44" s="17"/>
      <c r="EL44" s="17"/>
      <c r="EM44" s="17">
        <v>1</v>
      </c>
      <c r="EN44" s="17"/>
      <c r="EO44" s="17"/>
      <c r="EP44" s="17"/>
      <c r="EQ44" s="17"/>
      <c r="ER44" s="17"/>
      <c r="ES44" s="17"/>
      <c r="ET44" s="17"/>
      <c r="EU44" s="17"/>
      <c r="EV44" s="17">
        <v>1</v>
      </c>
      <c r="EW44" s="17"/>
      <c r="EX44" s="17">
        <v>1</v>
      </c>
      <c r="EY44" s="17"/>
      <c r="EZ44" s="17">
        <v>1</v>
      </c>
      <c r="FA44" s="17"/>
      <c r="FB44" s="17"/>
      <c r="FC44" s="17"/>
      <c r="FD44" s="17"/>
      <c r="FE44" s="17">
        <v>1</v>
      </c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>
        <v>1</v>
      </c>
      <c r="FS44" s="17"/>
      <c r="FT44" s="17"/>
      <c r="FU44" s="17"/>
      <c r="FV44" s="17">
        <v>1</v>
      </c>
      <c r="FW44" s="17">
        <v>1</v>
      </c>
      <c r="FX44" s="17"/>
      <c r="FY44" s="17"/>
      <c r="FZ44" s="17">
        <v>1</v>
      </c>
      <c r="GA44" s="17"/>
      <c r="GB44" s="17">
        <v>1</v>
      </c>
      <c r="GC44" s="17">
        <v>1</v>
      </c>
      <c r="GD44" s="17"/>
      <c r="GE44" s="17">
        <v>1</v>
      </c>
      <c r="GF44" s="17"/>
      <c r="GG44" s="17"/>
      <c r="GH44" s="17"/>
      <c r="GI44" s="17">
        <v>1</v>
      </c>
      <c r="GJ44" s="17"/>
      <c r="GK44" s="17"/>
      <c r="GL44" s="17">
        <v>1</v>
      </c>
      <c r="GM44" s="17"/>
      <c r="GN44" s="17">
        <v>1</v>
      </c>
      <c r="GO44" s="17"/>
      <c r="GP44" s="17"/>
      <c r="GQ44" s="17"/>
      <c r="GR44" s="17"/>
      <c r="GS44" s="17">
        <v>1</v>
      </c>
      <c r="GT44" s="17"/>
      <c r="GU44" s="17"/>
      <c r="GV44" s="17"/>
      <c r="GW44" s="17">
        <v>1</v>
      </c>
      <c r="GX44" s="17">
        <v>1</v>
      </c>
      <c r="GY44" s="17">
        <v>1</v>
      </c>
      <c r="GZ44" s="17">
        <v>1</v>
      </c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>
        <v>1</v>
      </c>
      <c r="JF44" s="17"/>
      <c r="JG44" s="17"/>
      <c r="JH44" s="17"/>
      <c r="JI44" s="17">
        <v>2</v>
      </c>
      <c r="JJ44" s="17"/>
      <c r="JK44" s="17">
        <v>1</v>
      </c>
      <c r="JL44" s="17"/>
      <c r="JM44" s="17"/>
      <c r="JN44" s="17"/>
      <c r="JO44" s="17"/>
      <c r="JP44" s="17"/>
      <c r="JQ44" s="17">
        <v>2</v>
      </c>
      <c r="JR44" s="17">
        <v>1</v>
      </c>
      <c r="JS44" s="17"/>
      <c r="JT44" s="17"/>
      <c r="JU44" s="17"/>
      <c r="JV44" s="17"/>
      <c r="JW44" s="17"/>
      <c r="JX44" s="17"/>
      <c r="JY44" s="17"/>
      <c r="JZ44" s="17">
        <v>2</v>
      </c>
      <c r="KA44" s="17"/>
      <c r="KB44" s="17"/>
      <c r="KC44" s="17"/>
      <c r="KD44" s="17">
        <v>2</v>
      </c>
      <c r="KE44" s="17"/>
      <c r="KF44" s="17"/>
      <c r="KG44" s="17"/>
      <c r="KH44" s="17"/>
      <c r="KI44" s="17"/>
      <c r="KJ44" s="17">
        <v>2</v>
      </c>
      <c r="KK44" s="17"/>
      <c r="KL44" s="17">
        <v>2</v>
      </c>
      <c r="KM44" s="17">
        <v>2</v>
      </c>
      <c r="KN44" s="17"/>
      <c r="KO44" s="17"/>
      <c r="KP44" s="17">
        <v>2</v>
      </c>
      <c r="KQ44" s="17"/>
      <c r="KR44" s="17"/>
      <c r="KS44" s="17"/>
      <c r="KT44" s="17">
        <v>1</v>
      </c>
      <c r="KU44" s="17"/>
      <c r="KV44" s="17">
        <v>1</v>
      </c>
      <c r="KW44" s="17"/>
      <c r="KX44" s="17">
        <v>1</v>
      </c>
      <c r="KY44" s="17">
        <v>1</v>
      </c>
      <c r="KZ44" s="17">
        <v>1</v>
      </c>
      <c r="LA44" s="17">
        <v>1</v>
      </c>
      <c r="LB44" s="17"/>
      <c r="LC44" s="17">
        <v>1</v>
      </c>
      <c r="LD44" s="17">
        <v>1</v>
      </c>
      <c r="LE44" s="17"/>
      <c r="LF44" s="17"/>
      <c r="LG44" s="17"/>
      <c r="LH44" s="17"/>
      <c r="LI44" s="17"/>
      <c r="LJ44" s="17"/>
      <c r="LK44" s="17"/>
      <c r="LL44" s="17">
        <v>1</v>
      </c>
      <c r="LM44" s="17"/>
      <c r="LN44" s="17"/>
      <c r="LO44" s="17"/>
      <c r="LP44" s="17">
        <v>1</v>
      </c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>
        <v>1</v>
      </c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>
        <v>1</v>
      </c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>
        <v>1</v>
      </c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>
        <v>1</v>
      </c>
      <c r="PR44" s="17"/>
      <c r="PS44" s="17"/>
      <c r="PT44" s="17"/>
      <c r="PU44" s="17"/>
      <c r="PV44" s="17"/>
      <c r="PW44" s="17" t="s">
        <v>506</v>
      </c>
      <c r="PX44" s="17" t="s">
        <v>506</v>
      </c>
      <c r="PY44" s="17" t="s">
        <v>506</v>
      </c>
      <c r="PZ44" s="17" t="s">
        <v>507</v>
      </c>
      <c r="QA44" s="17" t="s">
        <v>506</v>
      </c>
      <c r="QB44" s="17" t="s">
        <v>506</v>
      </c>
      <c r="QC44" s="17" t="s">
        <v>507</v>
      </c>
      <c r="QD44" s="17"/>
      <c r="QE44" s="17" t="s">
        <v>506</v>
      </c>
      <c r="QF44" s="17" t="s">
        <v>506</v>
      </c>
      <c r="QG44" s="17" t="s">
        <v>507</v>
      </c>
      <c r="QH44" s="17"/>
      <c r="QI44" s="17">
        <v>1</v>
      </c>
      <c r="QJ44" s="17">
        <v>0</v>
      </c>
      <c r="QK44" s="17">
        <v>0</v>
      </c>
      <c r="QL44" s="17">
        <v>1</v>
      </c>
      <c r="QM44" s="17">
        <v>1</v>
      </c>
      <c r="QN44" s="17">
        <v>1</v>
      </c>
      <c r="QO44" s="17">
        <v>1</v>
      </c>
      <c r="QP44" s="17">
        <v>1</v>
      </c>
      <c r="QQ44" s="17"/>
      <c r="QR44" s="17"/>
      <c r="QS44" s="17"/>
      <c r="QT44" s="17">
        <v>1</v>
      </c>
      <c r="QU44" s="17">
        <v>1</v>
      </c>
      <c r="QV44" s="17"/>
      <c r="QW44" s="17">
        <v>1</v>
      </c>
      <c r="QX44" s="17"/>
      <c r="QY44" s="17"/>
      <c r="QZ44" s="17">
        <v>1</v>
      </c>
      <c r="RA44" s="17"/>
      <c r="RB44" s="17">
        <v>1</v>
      </c>
      <c r="RC44" s="17">
        <v>1</v>
      </c>
      <c r="RD44" s="17"/>
      <c r="RE44" s="17"/>
      <c r="RF44" s="17">
        <v>0</v>
      </c>
      <c r="RG44" s="17">
        <v>0</v>
      </c>
      <c r="RH44" s="17">
        <v>0</v>
      </c>
      <c r="RI44" s="17">
        <v>0</v>
      </c>
      <c r="RJ44" s="17">
        <v>0</v>
      </c>
      <c r="RK44" s="17">
        <v>0</v>
      </c>
      <c r="RL44" s="17">
        <v>0</v>
      </c>
      <c r="RM44" s="17">
        <v>0</v>
      </c>
      <c r="RN44" s="17">
        <v>0</v>
      </c>
      <c r="RO44" s="17">
        <v>0</v>
      </c>
      <c r="RP44" s="17">
        <v>0</v>
      </c>
      <c r="RQ44" s="17">
        <v>0</v>
      </c>
      <c r="RR44" s="17">
        <v>0</v>
      </c>
      <c r="RS44" s="17"/>
      <c r="RT44" s="17"/>
      <c r="RU44" s="17">
        <v>1</v>
      </c>
      <c r="RV44" s="17"/>
      <c r="RW44" s="17">
        <v>1</v>
      </c>
      <c r="RX44" s="17">
        <v>1</v>
      </c>
      <c r="RY44" s="17"/>
      <c r="RZ44" s="17"/>
      <c r="SA44" s="17">
        <v>1</v>
      </c>
      <c r="SB44" s="17"/>
      <c r="SC44" s="17"/>
      <c r="SD44" s="17"/>
      <c r="SE44" s="17">
        <v>1</v>
      </c>
      <c r="SF44" s="17"/>
      <c r="SG44" s="17"/>
      <c r="SH44" s="17">
        <v>1</v>
      </c>
      <c r="SI44" s="17">
        <v>10045</v>
      </c>
      <c r="SJ44" s="19">
        <f t="shared" si="3"/>
        <v>44</v>
      </c>
      <c r="SK44" s="19">
        <f t="shared" si="4"/>
        <v>57</v>
      </c>
      <c r="SL44" s="19">
        <f t="shared" si="5"/>
        <v>13</v>
      </c>
      <c r="SM44" s="9">
        <v>10045</v>
      </c>
      <c r="SN44" s="9" t="s">
        <v>509</v>
      </c>
      <c r="SO44" s="10">
        <v>2</v>
      </c>
      <c r="SP44" s="9">
        <v>2</v>
      </c>
      <c r="SQ44" s="11" t="s">
        <v>515</v>
      </c>
      <c r="SR44" s="9">
        <v>16</v>
      </c>
      <c r="SS44" s="28">
        <v>58</v>
      </c>
      <c r="ST44" s="28">
        <v>15</v>
      </c>
      <c r="SU44" s="28">
        <v>57</v>
      </c>
      <c r="SV44" s="28">
        <v>9</v>
      </c>
      <c r="SW44" s="28">
        <v>13</v>
      </c>
      <c r="SX44" s="28">
        <v>30</v>
      </c>
      <c r="SY44" s="29">
        <v>27</v>
      </c>
      <c r="SZ44" s="30">
        <v>14</v>
      </c>
      <c r="TA44" s="31">
        <v>13</v>
      </c>
      <c r="TB44" s="31">
        <v>15</v>
      </c>
    </row>
    <row r="45" spans="1:522" ht="15.75" customHeight="1" x14ac:dyDescent="0.2">
      <c r="A45" s="17">
        <v>10046</v>
      </c>
      <c r="B45" s="17" t="s">
        <v>501</v>
      </c>
      <c r="C45" s="17" t="s">
        <v>502</v>
      </c>
      <c r="D45" s="17" t="s">
        <v>512</v>
      </c>
      <c r="E45" s="17" t="s">
        <v>509</v>
      </c>
      <c r="F45" s="18">
        <v>38051</v>
      </c>
      <c r="G45" s="18">
        <v>38587</v>
      </c>
      <c r="H45" s="14">
        <f t="shared" si="2"/>
        <v>17</v>
      </c>
      <c r="I45" s="17" t="s">
        <v>505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/>
      <c r="P45" s="17"/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/>
      <c r="W45" s="17">
        <v>1</v>
      </c>
      <c r="X45" s="17">
        <v>1</v>
      </c>
      <c r="Y45" s="17">
        <v>1</v>
      </c>
      <c r="Z45" s="17">
        <v>1</v>
      </c>
      <c r="AA45" s="17">
        <v>1</v>
      </c>
      <c r="AB45" s="17">
        <v>1</v>
      </c>
      <c r="AC45" s="17">
        <v>1</v>
      </c>
      <c r="AD45" s="17"/>
      <c r="AE45" s="17">
        <v>1</v>
      </c>
      <c r="AF45" s="17">
        <v>1</v>
      </c>
      <c r="AG45" s="17">
        <v>1</v>
      </c>
      <c r="AH45" s="17">
        <v>1</v>
      </c>
      <c r="AI45" s="17">
        <v>1</v>
      </c>
      <c r="AJ45" s="17"/>
      <c r="AK45" s="17">
        <v>1</v>
      </c>
      <c r="AL45" s="17">
        <v>1</v>
      </c>
      <c r="AM45" s="17"/>
      <c r="AN45" s="17">
        <v>1</v>
      </c>
      <c r="AO45" s="17" t="s">
        <v>506</v>
      </c>
      <c r="AP45" s="17" t="s">
        <v>506</v>
      </c>
      <c r="AQ45" s="17"/>
      <c r="AR45" s="17"/>
      <c r="AS45" s="17">
        <v>2</v>
      </c>
      <c r="AT45" s="17">
        <v>2</v>
      </c>
      <c r="AU45" s="17">
        <v>2</v>
      </c>
      <c r="AV45" s="17">
        <v>2</v>
      </c>
      <c r="AW45" s="17"/>
      <c r="AX45" s="17">
        <v>2</v>
      </c>
      <c r="AY45" s="17">
        <v>2</v>
      </c>
      <c r="AZ45" s="17"/>
      <c r="BA45" s="17">
        <v>2</v>
      </c>
      <c r="BB45" s="17"/>
      <c r="BC45" s="17"/>
      <c r="BD45" s="17">
        <v>2</v>
      </c>
      <c r="BE45" s="17">
        <v>1</v>
      </c>
      <c r="BF45" s="17">
        <v>2</v>
      </c>
      <c r="BG45" s="17"/>
      <c r="BH45" s="17">
        <v>2</v>
      </c>
      <c r="BI45" s="17">
        <v>2</v>
      </c>
      <c r="BJ45" s="17">
        <v>2</v>
      </c>
      <c r="BK45" s="17">
        <v>2</v>
      </c>
      <c r="BL45" s="17">
        <v>2</v>
      </c>
      <c r="BM45" s="17"/>
      <c r="BN45" s="17">
        <v>2</v>
      </c>
      <c r="BO45" s="17"/>
      <c r="BP45" s="17">
        <v>2</v>
      </c>
      <c r="BQ45" s="17"/>
      <c r="BR45" s="17">
        <v>2</v>
      </c>
      <c r="BS45" s="17"/>
      <c r="BT45" s="17"/>
      <c r="BU45" s="17"/>
      <c r="BV45" s="17">
        <v>2</v>
      </c>
      <c r="BW45" s="17">
        <v>2</v>
      </c>
      <c r="BX45" s="17">
        <v>2</v>
      </c>
      <c r="BY45" s="17">
        <v>2</v>
      </c>
      <c r="BZ45" s="17"/>
      <c r="CA45" s="17">
        <v>2</v>
      </c>
      <c r="CB45" s="17"/>
      <c r="CC45" s="17"/>
      <c r="CD45" s="17"/>
      <c r="CE45" s="17"/>
      <c r="CF45" s="17"/>
      <c r="CG45" s="17">
        <v>2</v>
      </c>
      <c r="CH45" s="17">
        <v>2</v>
      </c>
      <c r="CI45" s="17"/>
      <c r="CJ45" s="17">
        <v>2</v>
      </c>
      <c r="CK45" s="17"/>
      <c r="CL45" s="17"/>
      <c r="CM45" s="17">
        <v>2</v>
      </c>
      <c r="CN45" s="17">
        <v>2</v>
      </c>
      <c r="CO45" s="17">
        <v>1</v>
      </c>
      <c r="CP45" s="17">
        <v>2</v>
      </c>
      <c r="CQ45" s="17">
        <v>1</v>
      </c>
      <c r="CR45" s="17">
        <v>2</v>
      </c>
      <c r="CS45" s="17">
        <v>1</v>
      </c>
      <c r="CT45" s="17">
        <v>1</v>
      </c>
      <c r="CU45" s="17">
        <v>1</v>
      </c>
      <c r="CV45" s="17">
        <v>2</v>
      </c>
      <c r="CW45" s="17">
        <v>2</v>
      </c>
      <c r="CX45" s="17"/>
      <c r="CY45" s="17">
        <v>1</v>
      </c>
      <c r="CZ45" s="17">
        <v>2</v>
      </c>
      <c r="DA45" s="17">
        <v>2</v>
      </c>
      <c r="DB45" s="17"/>
      <c r="DC45" s="17">
        <v>1</v>
      </c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>
        <v>1</v>
      </c>
      <c r="DV45" s="17"/>
      <c r="DW45" s="17"/>
      <c r="DX45" s="17"/>
      <c r="DY45" s="17">
        <v>1</v>
      </c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>
        <v>1</v>
      </c>
      <c r="FB45" s="17">
        <v>1</v>
      </c>
      <c r="FC45" s="17"/>
      <c r="FD45" s="17">
        <v>1</v>
      </c>
      <c r="FE45" s="17">
        <v>1</v>
      </c>
      <c r="FF45" s="17"/>
      <c r="FG45" s="17">
        <v>1</v>
      </c>
      <c r="FH45" s="17"/>
      <c r="FI45" s="17">
        <v>1</v>
      </c>
      <c r="FJ45" s="17"/>
      <c r="FK45" s="17">
        <v>1</v>
      </c>
      <c r="FL45" s="17"/>
      <c r="FM45" s="17"/>
      <c r="FN45" s="17">
        <v>1</v>
      </c>
      <c r="FO45" s="17">
        <v>1</v>
      </c>
      <c r="FP45" s="17"/>
      <c r="FQ45" s="17">
        <v>1</v>
      </c>
      <c r="FR45" s="17"/>
      <c r="FS45" s="17"/>
      <c r="FT45" s="17">
        <v>1</v>
      </c>
      <c r="FU45" s="17">
        <v>1</v>
      </c>
      <c r="FV45" s="17"/>
      <c r="FW45" s="17"/>
      <c r="FX45" s="17"/>
      <c r="FY45" s="17"/>
      <c r="FZ45" s="17"/>
      <c r="GA45" s="17">
        <v>2</v>
      </c>
      <c r="GB45" s="17">
        <v>1</v>
      </c>
      <c r="GC45" s="17">
        <v>1</v>
      </c>
      <c r="GD45" s="17">
        <v>1</v>
      </c>
      <c r="GE45" s="17">
        <v>1</v>
      </c>
      <c r="GF45" s="17"/>
      <c r="GG45" s="17">
        <v>1</v>
      </c>
      <c r="GH45" s="17"/>
      <c r="GI45" s="17">
        <v>1</v>
      </c>
      <c r="GJ45" s="17"/>
      <c r="GK45" s="17">
        <v>1</v>
      </c>
      <c r="GL45" s="17"/>
      <c r="GM45" s="17"/>
      <c r="GN45" s="17"/>
      <c r="GO45" s="17"/>
      <c r="GP45" s="17">
        <v>1</v>
      </c>
      <c r="GQ45" s="17"/>
      <c r="GR45" s="17"/>
      <c r="GS45" s="17"/>
      <c r="GT45" s="17">
        <v>1</v>
      </c>
      <c r="GU45" s="17"/>
      <c r="GV45" s="17"/>
      <c r="GW45" s="17"/>
      <c r="GX45" s="17">
        <v>1</v>
      </c>
      <c r="GY45" s="17">
        <v>1</v>
      </c>
      <c r="GZ45" s="17">
        <v>1</v>
      </c>
      <c r="HA45" s="17"/>
      <c r="HB45" s="17"/>
      <c r="HC45" s="17"/>
      <c r="HD45" s="17"/>
      <c r="HE45" s="17"/>
      <c r="HF45" s="17"/>
      <c r="HG45" s="17"/>
      <c r="HH45" s="17">
        <v>1</v>
      </c>
      <c r="HI45" s="17"/>
      <c r="HJ45" s="17"/>
      <c r="HK45" s="17">
        <v>1</v>
      </c>
      <c r="HL45" s="17">
        <v>1</v>
      </c>
      <c r="HM45" s="17">
        <v>1</v>
      </c>
      <c r="HN45" s="17">
        <v>1</v>
      </c>
      <c r="HO45" s="17"/>
      <c r="HP45" s="17"/>
      <c r="HQ45" s="17"/>
      <c r="HR45" s="17"/>
      <c r="HS45" s="17"/>
      <c r="HT45" s="17">
        <v>1</v>
      </c>
      <c r="HU45" s="17"/>
      <c r="HV45" s="17"/>
      <c r="HW45" s="17"/>
      <c r="HX45" s="17"/>
      <c r="HY45" s="17"/>
      <c r="HZ45" s="17"/>
      <c r="IA45" s="17"/>
      <c r="IB45" s="17"/>
      <c r="IC45" s="17">
        <v>1</v>
      </c>
      <c r="ID45" s="17"/>
      <c r="IE45" s="17"/>
      <c r="IF45" s="17">
        <v>2</v>
      </c>
      <c r="IG45" s="17"/>
      <c r="IH45" s="17">
        <v>1</v>
      </c>
      <c r="II45" s="17">
        <v>1</v>
      </c>
      <c r="IJ45" s="17">
        <v>1</v>
      </c>
      <c r="IK45" s="17">
        <v>1</v>
      </c>
      <c r="IL45" s="17">
        <v>1</v>
      </c>
      <c r="IM45" s="17"/>
      <c r="IN45" s="17">
        <v>1</v>
      </c>
      <c r="IO45" s="17"/>
      <c r="IP45" s="17"/>
      <c r="IQ45" s="17"/>
      <c r="IR45" s="17"/>
      <c r="IS45" s="17"/>
      <c r="IT45" s="17">
        <v>1</v>
      </c>
      <c r="IU45" s="17"/>
      <c r="IV45" s="17"/>
      <c r="IW45" s="17"/>
      <c r="IX45" s="17"/>
      <c r="IY45" s="17">
        <v>1</v>
      </c>
      <c r="IZ45" s="17">
        <v>1</v>
      </c>
      <c r="JA45" s="17"/>
      <c r="JB45" s="17"/>
      <c r="JC45" s="17"/>
      <c r="JD45" s="17"/>
      <c r="JE45" s="17">
        <v>2</v>
      </c>
      <c r="JF45" s="17"/>
      <c r="JG45" s="17"/>
      <c r="JH45" s="17">
        <v>1</v>
      </c>
      <c r="JI45" s="17"/>
      <c r="JJ45" s="17"/>
      <c r="JK45" s="17">
        <v>2</v>
      </c>
      <c r="JL45" s="17"/>
      <c r="JM45" s="17">
        <v>2</v>
      </c>
      <c r="JN45" s="17"/>
      <c r="JO45" s="17"/>
      <c r="JP45" s="17"/>
      <c r="JQ45" s="17">
        <v>2</v>
      </c>
      <c r="JR45" s="17">
        <v>1</v>
      </c>
      <c r="JS45" s="17"/>
      <c r="JT45" s="17"/>
      <c r="JU45" s="17"/>
      <c r="JV45" s="17"/>
      <c r="JW45" s="17"/>
      <c r="JX45" s="17">
        <v>1</v>
      </c>
      <c r="JY45" s="17"/>
      <c r="JZ45" s="17">
        <v>2</v>
      </c>
      <c r="KA45" s="17">
        <v>2</v>
      </c>
      <c r="KB45" s="17">
        <v>1</v>
      </c>
      <c r="KC45" s="17">
        <v>2</v>
      </c>
      <c r="KD45" s="17">
        <v>2</v>
      </c>
      <c r="KE45" s="17">
        <v>1</v>
      </c>
      <c r="KF45" s="17">
        <v>1</v>
      </c>
      <c r="KG45" s="17"/>
      <c r="KH45" s="17">
        <v>1</v>
      </c>
      <c r="KI45" s="17"/>
      <c r="KJ45" s="17">
        <v>2</v>
      </c>
      <c r="KK45" s="17">
        <v>2</v>
      </c>
      <c r="KL45" s="17"/>
      <c r="KM45" s="17">
        <v>2</v>
      </c>
      <c r="KN45" s="17"/>
      <c r="KO45" s="17"/>
      <c r="KP45" s="17"/>
      <c r="KQ45" s="17"/>
      <c r="KR45" s="17">
        <v>1</v>
      </c>
      <c r="KS45" s="17"/>
      <c r="KT45" s="17"/>
      <c r="KU45" s="17"/>
      <c r="KV45" s="17">
        <v>1</v>
      </c>
      <c r="KW45" s="17"/>
      <c r="KX45" s="17"/>
      <c r="KY45" s="17">
        <v>1</v>
      </c>
      <c r="KZ45" s="17">
        <v>1</v>
      </c>
      <c r="LA45" s="17">
        <v>1</v>
      </c>
      <c r="LB45" s="17"/>
      <c r="LC45" s="17">
        <v>1</v>
      </c>
      <c r="LD45" s="17"/>
      <c r="LE45" s="17">
        <v>1</v>
      </c>
      <c r="LF45" s="17"/>
      <c r="LG45" s="17">
        <v>1</v>
      </c>
      <c r="LH45" s="17">
        <v>1</v>
      </c>
      <c r="LI45" s="17"/>
      <c r="LJ45" s="17">
        <v>1</v>
      </c>
      <c r="LK45" s="17"/>
      <c r="LL45" s="17">
        <v>1</v>
      </c>
      <c r="LM45" s="17"/>
      <c r="LN45" s="17">
        <v>1</v>
      </c>
      <c r="LO45" s="17"/>
      <c r="LP45" s="17">
        <v>1</v>
      </c>
      <c r="LQ45" s="17"/>
      <c r="LR45" s="17"/>
      <c r="LS45" s="17">
        <v>1</v>
      </c>
      <c r="LT45" s="17"/>
      <c r="LU45" s="17"/>
      <c r="LV45" s="17">
        <v>1</v>
      </c>
      <c r="LW45" s="17"/>
      <c r="LX45" s="17">
        <v>1</v>
      </c>
      <c r="LY45" s="17"/>
      <c r="LZ45" s="17"/>
      <c r="MA45" s="17"/>
      <c r="MB45" s="17"/>
      <c r="MC45" s="17">
        <v>1</v>
      </c>
      <c r="MD45" s="17"/>
      <c r="ME45" s="17">
        <v>1</v>
      </c>
      <c r="MF45" s="17"/>
      <c r="MG45" s="17"/>
      <c r="MH45" s="17">
        <v>1</v>
      </c>
      <c r="MI45" s="17">
        <v>1</v>
      </c>
      <c r="MJ45" s="17">
        <v>1</v>
      </c>
      <c r="MK45" s="17"/>
      <c r="ML45" s="17">
        <v>1</v>
      </c>
      <c r="MM45" s="17"/>
      <c r="MN45" s="17"/>
      <c r="MO45" s="17"/>
      <c r="MP45" s="17">
        <v>1</v>
      </c>
      <c r="MQ45" s="17">
        <v>1</v>
      </c>
      <c r="MR45" s="17">
        <v>1</v>
      </c>
      <c r="MS45" s="17"/>
      <c r="MT45" s="17"/>
      <c r="MU45" s="17"/>
      <c r="MV45" s="17"/>
      <c r="MW45" s="17"/>
      <c r="MX45" s="17"/>
      <c r="MY45" s="17"/>
      <c r="MZ45" s="17"/>
      <c r="NA45" s="17"/>
      <c r="NB45" s="17">
        <v>1</v>
      </c>
      <c r="NC45" s="17"/>
      <c r="ND45" s="17"/>
      <c r="NE45" s="17"/>
      <c r="NF45" s="17"/>
      <c r="NG45" s="17"/>
      <c r="NH45" s="17">
        <v>1</v>
      </c>
      <c r="NI45" s="17">
        <v>1</v>
      </c>
      <c r="NJ45" s="17"/>
      <c r="NK45" s="17"/>
      <c r="NL45" s="17"/>
      <c r="NM45" s="17"/>
      <c r="NN45" s="17"/>
      <c r="NO45" s="17"/>
      <c r="NP45" s="17"/>
      <c r="NQ45" s="17"/>
      <c r="NR45" s="17">
        <v>1</v>
      </c>
      <c r="NS45" s="17">
        <v>1</v>
      </c>
      <c r="NT45" s="17"/>
      <c r="NU45" s="17"/>
      <c r="NV45" s="17">
        <v>2</v>
      </c>
      <c r="NW45" s="17">
        <v>1</v>
      </c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>
        <v>1</v>
      </c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>
        <v>1</v>
      </c>
      <c r="OZ45" s="17"/>
      <c r="PA45" s="17">
        <v>1</v>
      </c>
      <c r="PB45" s="17">
        <v>2</v>
      </c>
      <c r="PC45" s="17"/>
      <c r="PD45" s="17">
        <v>1</v>
      </c>
      <c r="PE45" s="17">
        <v>1</v>
      </c>
      <c r="PF45" s="17">
        <v>1</v>
      </c>
      <c r="PG45" s="17">
        <v>1</v>
      </c>
      <c r="PH45" s="17"/>
      <c r="PI45" s="17">
        <v>1</v>
      </c>
      <c r="PJ45" s="17">
        <v>1</v>
      </c>
      <c r="PK45" s="17">
        <v>1</v>
      </c>
      <c r="PL45" s="17">
        <v>1</v>
      </c>
      <c r="PM45" s="17"/>
      <c r="PN45" s="17">
        <v>1</v>
      </c>
      <c r="PO45" s="17"/>
      <c r="PP45" s="17">
        <v>1</v>
      </c>
      <c r="PQ45" s="17">
        <v>1</v>
      </c>
      <c r="PR45" s="17"/>
      <c r="PS45" s="17"/>
      <c r="PT45" s="17">
        <v>1</v>
      </c>
      <c r="PU45" s="17"/>
      <c r="PV45" s="17"/>
      <c r="PW45" s="17" t="s">
        <v>506</v>
      </c>
      <c r="PX45" s="17" t="s">
        <v>506</v>
      </c>
      <c r="PY45" s="17" t="s">
        <v>506</v>
      </c>
      <c r="PZ45" s="17" t="s">
        <v>506</v>
      </c>
      <c r="QA45" s="17" t="s">
        <v>506</v>
      </c>
      <c r="QB45" s="17" t="s">
        <v>507</v>
      </c>
      <c r="QC45" s="17" t="s">
        <v>508</v>
      </c>
      <c r="QD45" s="17" t="s">
        <v>508</v>
      </c>
      <c r="QE45" s="17" t="s">
        <v>506</v>
      </c>
      <c r="QF45" s="17" t="s">
        <v>506</v>
      </c>
      <c r="QG45" s="17" t="s">
        <v>506</v>
      </c>
      <c r="QH45" s="17" t="s">
        <v>506</v>
      </c>
      <c r="QI45" s="17">
        <v>1</v>
      </c>
      <c r="QJ45" s="17">
        <v>1</v>
      </c>
      <c r="QK45" s="17">
        <v>0</v>
      </c>
      <c r="QL45" s="17">
        <v>1</v>
      </c>
      <c r="QM45" s="17">
        <v>1</v>
      </c>
      <c r="QN45" s="17">
        <v>1</v>
      </c>
      <c r="QO45" s="17">
        <v>1</v>
      </c>
      <c r="QP45" s="17">
        <v>1</v>
      </c>
      <c r="QQ45" s="17">
        <v>1</v>
      </c>
      <c r="QR45" s="17">
        <v>1</v>
      </c>
      <c r="QS45" s="17">
        <v>1</v>
      </c>
      <c r="QT45" s="17">
        <v>1</v>
      </c>
      <c r="QU45" s="17">
        <v>1</v>
      </c>
      <c r="QV45" s="17">
        <v>1</v>
      </c>
      <c r="QW45" s="17">
        <v>0</v>
      </c>
      <c r="QX45" s="17">
        <v>1</v>
      </c>
      <c r="QY45" s="17">
        <v>0</v>
      </c>
      <c r="QZ45" s="17">
        <v>1</v>
      </c>
      <c r="RA45" s="17">
        <v>1</v>
      </c>
      <c r="RB45" s="17">
        <v>1</v>
      </c>
      <c r="RC45" s="17">
        <v>1</v>
      </c>
      <c r="RD45" s="17">
        <v>1</v>
      </c>
      <c r="RE45" s="17">
        <v>1</v>
      </c>
      <c r="RF45" s="17">
        <v>0</v>
      </c>
      <c r="RG45" s="17">
        <v>0</v>
      </c>
      <c r="RH45" s="17">
        <v>1</v>
      </c>
      <c r="RI45" s="17">
        <v>1</v>
      </c>
      <c r="RJ45" s="17">
        <v>1</v>
      </c>
      <c r="RK45" s="17">
        <v>0</v>
      </c>
      <c r="RL45" s="17">
        <v>1</v>
      </c>
      <c r="RM45" s="17">
        <v>0</v>
      </c>
      <c r="RN45" s="17">
        <v>1</v>
      </c>
      <c r="RO45" s="17">
        <v>1</v>
      </c>
      <c r="RP45" s="17">
        <v>0</v>
      </c>
      <c r="RQ45" s="17">
        <v>1</v>
      </c>
      <c r="RR45" s="17">
        <v>0</v>
      </c>
      <c r="RS45" s="17">
        <v>1</v>
      </c>
      <c r="RT45" s="17">
        <v>1</v>
      </c>
      <c r="RU45" s="17">
        <v>1</v>
      </c>
      <c r="RV45" s="17">
        <v>0</v>
      </c>
      <c r="RW45" s="17">
        <v>1</v>
      </c>
      <c r="RX45" s="17">
        <v>1</v>
      </c>
      <c r="RY45" s="17">
        <v>0</v>
      </c>
      <c r="RZ45" s="17">
        <v>1</v>
      </c>
      <c r="SA45" s="17">
        <v>1</v>
      </c>
      <c r="SB45" s="17">
        <v>1</v>
      </c>
      <c r="SC45" s="17">
        <v>1</v>
      </c>
      <c r="SD45" s="17">
        <v>1</v>
      </c>
      <c r="SE45" s="17">
        <v>1</v>
      </c>
      <c r="SF45" s="17">
        <v>1</v>
      </c>
      <c r="SG45" s="17">
        <v>1</v>
      </c>
      <c r="SH45" s="17">
        <v>1</v>
      </c>
      <c r="SI45" s="17">
        <v>10046</v>
      </c>
      <c r="SJ45" s="19">
        <f t="shared" si="3"/>
        <v>103</v>
      </c>
      <c r="SK45" s="19">
        <f t="shared" si="4"/>
        <v>151</v>
      </c>
      <c r="SL45" s="19">
        <f t="shared" si="5"/>
        <v>48</v>
      </c>
      <c r="SM45" s="9">
        <v>10046</v>
      </c>
      <c r="SN45" s="9" t="s">
        <v>509</v>
      </c>
      <c r="SO45" s="10">
        <v>1</v>
      </c>
      <c r="SP45" s="9">
        <v>1</v>
      </c>
      <c r="SQ45" s="11" t="s">
        <v>517</v>
      </c>
      <c r="SR45" s="9">
        <v>14</v>
      </c>
      <c r="SS45" s="28">
        <v>58</v>
      </c>
      <c r="ST45" s="28">
        <v>17</v>
      </c>
      <c r="SU45" s="28">
        <v>152</v>
      </c>
      <c r="SV45" s="28">
        <v>21</v>
      </c>
      <c r="SW45" s="28">
        <v>49</v>
      </c>
      <c r="SX45" s="28">
        <v>30</v>
      </c>
      <c r="SY45" s="29">
        <v>50</v>
      </c>
      <c r="SZ45" s="30">
        <v>60</v>
      </c>
      <c r="TA45" s="31">
        <v>22</v>
      </c>
      <c r="TB45" s="31">
        <v>30</v>
      </c>
    </row>
    <row r="46" spans="1:522" ht="15.75" customHeight="1" x14ac:dyDescent="0.2">
      <c r="A46" s="17">
        <v>10047</v>
      </c>
      <c r="B46" s="17" t="s">
        <v>501</v>
      </c>
      <c r="C46" s="17" t="s">
        <v>502</v>
      </c>
      <c r="D46" s="17" t="s">
        <v>512</v>
      </c>
      <c r="E46" s="17" t="s">
        <v>509</v>
      </c>
      <c r="F46" s="18">
        <v>38042</v>
      </c>
      <c r="G46" s="18">
        <v>38526</v>
      </c>
      <c r="H46" s="14">
        <f t="shared" si="2"/>
        <v>15</v>
      </c>
      <c r="I46" s="17" t="s">
        <v>505</v>
      </c>
      <c r="J46" s="17">
        <v>1</v>
      </c>
      <c r="K46" s="17">
        <v>1</v>
      </c>
      <c r="L46" s="17">
        <v>1</v>
      </c>
      <c r="M46" s="17"/>
      <c r="N46" s="17"/>
      <c r="O46" s="17"/>
      <c r="P46" s="17">
        <v>1</v>
      </c>
      <c r="Q46" s="17">
        <v>1</v>
      </c>
      <c r="R46" s="17">
        <v>1</v>
      </c>
      <c r="S46" s="17">
        <v>1</v>
      </c>
      <c r="T46" s="17">
        <v>1</v>
      </c>
      <c r="U46" s="17"/>
      <c r="V46" s="17">
        <v>1</v>
      </c>
      <c r="W46" s="17"/>
      <c r="X46" s="17">
        <v>1</v>
      </c>
      <c r="Y46" s="17">
        <v>1</v>
      </c>
      <c r="Z46" s="17"/>
      <c r="AA46" s="17"/>
      <c r="AB46" s="17">
        <v>1</v>
      </c>
      <c r="AC46" s="17">
        <v>1</v>
      </c>
      <c r="AD46" s="17"/>
      <c r="AE46" s="17">
        <v>1</v>
      </c>
      <c r="AF46" s="17">
        <v>1</v>
      </c>
      <c r="AG46" s="17"/>
      <c r="AH46" s="17">
        <v>1</v>
      </c>
      <c r="AI46" s="17">
        <v>1</v>
      </c>
      <c r="AJ46" s="17">
        <v>1</v>
      </c>
      <c r="AK46" s="17"/>
      <c r="AL46" s="17">
        <v>1</v>
      </c>
      <c r="AM46" s="17"/>
      <c r="AN46" s="17"/>
      <c r="AO46" s="17" t="s">
        <v>508</v>
      </c>
      <c r="AP46" s="17" t="s">
        <v>508</v>
      </c>
      <c r="AQ46" s="17"/>
      <c r="AR46" s="17"/>
      <c r="AS46" s="17"/>
      <c r="AT46" s="17"/>
      <c r="AU46" s="17">
        <v>1</v>
      </c>
      <c r="AV46" s="17"/>
      <c r="AW46" s="17"/>
      <c r="AX46" s="17">
        <v>1</v>
      </c>
      <c r="AY46" s="17"/>
      <c r="AZ46" s="17"/>
      <c r="BA46" s="17"/>
      <c r="BB46" s="17">
        <v>1</v>
      </c>
      <c r="BC46" s="17"/>
      <c r="BD46" s="17">
        <v>1</v>
      </c>
      <c r="BE46" s="17"/>
      <c r="BF46" s="17">
        <v>1</v>
      </c>
      <c r="BG46" s="17"/>
      <c r="BH46" s="17">
        <v>1</v>
      </c>
      <c r="BI46" s="17">
        <v>1</v>
      </c>
      <c r="BJ46" s="17">
        <v>1</v>
      </c>
      <c r="BK46" s="17">
        <v>1</v>
      </c>
      <c r="BL46" s="17"/>
      <c r="BM46" s="17"/>
      <c r="BN46" s="17"/>
      <c r="BO46" s="17"/>
      <c r="BP46" s="17">
        <v>1</v>
      </c>
      <c r="BQ46" s="17"/>
      <c r="BR46" s="17"/>
      <c r="BS46" s="17"/>
      <c r="BT46" s="17"/>
      <c r="BU46" s="17"/>
      <c r="BV46" s="17"/>
      <c r="BW46" s="17">
        <v>1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>
        <v>1</v>
      </c>
      <c r="CJ46" s="17"/>
      <c r="CK46" s="17"/>
      <c r="CL46" s="17"/>
      <c r="CM46" s="17"/>
      <c r="CN46" s="17"/>
      <c r="CO46" s="17"/>
      <c r="CP46" s="17">
        <v>1</v>
      </c>
      <c r="CQ46" s="17"/>
      <c r="CR46" s="17"/>
      <c r="CS46" s="17">
        <v>1</v>
      </c>
      <c r="CT46" s="17"/>
      <c r="CU46" s="17"/>
      <c r="CV46" s="17">
        <v>1</v>
      </c>
      <c r="CW46" s="17"/>
      <c r="CX46" s="17"/>
      <c r="CY46" s="17">
        <v>1</v>
      </c>
      <c r="CZ46" s="17">
        <v>1</v>
      </c>
      <c r="DA46" s="17">
        <v>1</v>
      </c>
      <c r="DB46" s="17"/>
      <c r="DC46" s="17">
        <v>1</v>
      </c>
      <c r="DD46" s="17">
        <v>1</v>
      </c>
      <c r="DE46" s="17">
        <v>1</v>
      </c>
      <c r="DF46" s="17">
        <v>1</v>
      </c>
      <c r="DG46" s="17"/>
      <c r="DH46" s="17"/>
      <c r="DI46" s="17"/>
      <c r="DJ46" s="17"/>
      <c r="DK46" s="17">
        <v>1</v>
      </c>
      <c r="DL46" s="17">
        <v>1</v>
      </c>
      <c r="DM46" s="17">
        <v>1</v>
      </c>
      <c r="DN46" s="17">
        <v>1</v>
      </c>
      <c r="DO46" s="17"/>
      <c r="DP46" s="17">
        <v>1</v>
      </c>
      <c r="DQ46" s="17">
        <v>1</v>
      </c>
      <c r="DR46" s="17">
        <v>1</v>
      </c>
      <c r="DS46" s="17"/>
      <c r="DT46" s="17"/>
      <c r="DU46" s="17"/>
      <c r="DV46" s="17"/>
      <c r="DW46" s="17"/>
      <c r="DX46" s="17"/>
      <c r="DY46" s="17">
        <v>1</v>
      </c>
      <c r="DZ46" s="17"/>
      <c r="EA46" s="17"/>
      <c r="EB46" s="17"/>
      <c r="EC46" s="17"/>
      <c r="ED46" s="17"/>
      <c r="EE46" s="17"/>
      <c r="EF46" s="17">
        <v>1</v>
      </c>
      <c r="EG46" s="17">
        <v>1</v>
      </c>
      <c r="EH46" s="17"/>
      <c r="EI46" s="17">
        <v>1</v>
      </c>
      <c r="EJ46" s="17"/>
      <c r="EK46" s="17"/>
      <c r="EL46" s="17"/>
      <c r="EM46" s="17">
        <v>1</v>
      </c>
      <c r="EN46" s="17"/>
      <c r="EO46" s="17">
        <v>1</v>
      </c>
      <c r="EP46" s="17"/>
      <c r="EQ46" s="17"/>
      <c r="ER46" s="17"/>
      <c r="ES46" s="17">
        <v>1</v>
      </c>
      <c r="ET46" s="17">
        <v>1</v>
      </c>
      <c r="EU46" s="17">
        <v>1</v>
      </c>
      <c r="EV46" s="17">
        <v>1</v>
      </c>
      <c r="EW46" s="17"/>
      <c r="EX46" s="17"/>
      <c r="EY46" s="17"/>
      <c r="EZ46" s="17"/>
      <c r="FA46" s="17">
        <v>1</v>
      </c>
      <c r="FB46" s="17"/>
      <c r="FC46" s="17"/>
      <c r="FD46" s="17">
        <v>1</v>
      </c>
      <c r="FE46" s="17">
        <v>1</v>
      </c>
      <c r="FF46" s="17">
        <v>1</v>
      </c>
      <c r="FG46" s="17">
        <v>1</v>
      </c>
      <c r="FH46" s="17">
        <v>1</v>
      </c>
      <c r="FI46" s="17"/>
      <c r="FJ46" s="17">
        <v>1</v>
      </c>
      <c r="FK46" s="17"/>
      <c r="FL46" s="17"/>
      <c r="FM46" s="17">
        <v>1</v>
      </c>
      <c r="FN46" s="17">
        <v>1</v>
      </c>
      <c r="FO46" s="17">
        <v>1</v>
      </c>
      <c r="FP46" s="17"/>
      <c r="FQ46" s="17">
        <v>1</v>
      </c>
      <c r="FR46" s="17"/>
      <c r="FS46" s="17"/>
      <c r="FT46" s="17">
        <v>1</v>
      </c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>
        <v>1</v>
      </c>
      <c r="HF46" s="17">
        <v>1</v>
      </c>
      <c r="HG46" s="17">
        <v>1</v>
      </c>
      <c r="HH46" s="17">
        <v>1</v>
      </c>
      <c r="HI46" s="17"/>
      <c r="HJ46" s="17"/>
      <c r="HK46" s="17">
        <v>1</v>
      </c>
      <c r="HL46" s="17">
        <v>1</v>
      </c>
      <c r="HM46" s="17"/>
      <c r="HN46" s="17"/>
      <c r="HO46" s="17">
        <v>1</v>
      </c>
      <c r="HP46" s="17">
        <v>1</v>
      </c>
      <c r="HQ46" s="17"/>
      <c r="HR46" s="17"/>
      <c r="HS46" s="17"/>
      <c r="HT46" s="17"/>
      <c r="HU46" s="17">
        <v>1</v>
      </c>
      <c r="HV46" s="17"/>
      <c r="HW46" s="17">
        <v>1</v>
      </c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>
        <v>1</v>
      </c>
      <c r="KR46" s="17"/>
      <c r="KS46" s="17"/>
      <c r="KT46" s="17"/>
      <c r="KU46" s="17"/>
      <c r="KV46" s="17">
        <v>1</v>
      </c>
      <c r="KW46" s="17">
        <v>1</v>
      </c>
      <c r="KX46" s="17"/>
      <c r="KY46" s="17">
        <v>1</v>
      </c>
      <c r="KZ46" s="17"/>
      <c r="LA46" s="17">
        <v>1</v>
      </c>
      <c r="LB46" s="17"/>
      <c r="LC46" s="17">
        <v>1</v>
      </c>
      <c r="LD46" s="17"/>
      <c r="LE46" s="17"/>
      <c r="LF46" s="17"/>
      <c r="LG46" s="17">
        <v>1</v>
      </c>
      <c r="LH46" s="17"/>
      <c r="LI46" s="17"/>
      <c r="LJ46" s="17"/>
      <c r="LK46" s="17"/>
      <c r="LL46" s="17">
        <v>1</v>
      </c>
      <c r="LM46" s="17"/>
      <c r="LN46" s="17"/>
      <c r="LO46" s="17"/>
      <c r="LP46" s="17">
        <v>1</v>
      </c>
      <c r="LQ46" s="17">
        <v>1</v>
      </c>
      <c r="LR46" s="17"/>
      <c r="LS46" s="17"/>
      <c r="LT46" s="17"/>
      <c r="LU46" s="17"/>
      <c r="LV46" s="17"/>
      <c r="LW46" s="17">
        <v>1</v>
      </c>
      <c r="LX46" s="17"/>
      <c r="LY46" s="17"/>
      <c r="LZ46" s="17"/>
      <c r="MA46" s="17"/>
      <c r="MB46" s="17"/>
      <c r="MC46" s="17"/>
      <c r="MD46" s="17"/>
      <c r="ME46" s="17">
        <v>1</v>
      </c>
      <c r="MF46" s="17"/>
      <c r="MG46" s="17">
        <v>1</v>
      </c>
      <c r="MH46" s="17"/>
      <c r="MI46" s="17"/>
      <c r="MJ46" s="17">
        <v>1</v>
      </c>
      <c r="MK46" s="17"/>
      <c r="ML46" s="17">
        <v>1</v>
      </c>
      <c r="MM46" s="17"/>
      <c r="MN46" s="17"/>
      <c r="MO46" s="17">
        <v>1</v>
      </c>
      <c r="MP46" s="17">
        <v>1</v>
      </c>
      <c r="MQ46" s="17">
        <v>1</v>
      </c>
      <c r="MR46" s="17">
        <v>1</v>
      </c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>
        <v>1</v>
      </c>
      <c r="NK46" s="17">
        <v>1</v>
      </c>
      <c r="NL46" s="17"/>
      <c r="NM46" s="17">
        <v>1</v>
      </c>
      <c r="NN46" s="17"/>
      <c r="NO46" s="17"/>
      <c r="NP46" s="17"/>
      <c r="NQ46" s="17"/>
      <c r="NR46" s="17">
        <v>1</v>
      </c>
      <c r="NS46" s="17"/>
      <c r="NT46" s="17"/>
      <c r="NU46" s="17"/>
      <c r="NV46" s="17">
        <v>1</v>
      </c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>
        <v>1</v>
      </c>
      <c r="OH46" s="17">
        <v>1</v>
      </c>
      <c r="OI46" s="17"/>
      <c r="OJ46" s="17">
        <v>1</v>
      </c>
      <c r="OK46" s="17">
        <v>1</v>
      </c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>
        <v>1</v>
      </c>
      <c r="OX46" s="17"/>
      <c r="OY46" s="17"/>
      <c r="OZ46" s="17"/>
      <c r="PA46" s="17"/>
      <c r="PB46" s="17"/>
      <c r="PC46" s="17"/>
      <c r="PD46" s="17"/>
      <c r="PE46" s="17"/>
      <c r="PF46" s="17">
        <v>1</v>
      </c>
      <c r="PG46" s="17">
        <v>1</v>
      </c>
      <c r="PH46" s="17"/>
      <c r="PI46" s="17"/>
      <c r="PJ46" s="17"/>
      <c r="PK46" s="17"/>
      <c r="PL46" s="17"/>
      <c r="PM46" s="17">
        <v>1</v>
      </c>
      <c r="PN46" s="17">
        <v>1</v>
      </c>
      <c r="PO46" s="17"/>
      <c r="PP46" s="17"/>
      <c r="PQ46" s="17"/>
      <c r="PR46" s="17"/>
      <c r="PS46" s="17"/>
      <c r="PT46" s="17"/>
      <c r="PU46" s="17"/>
      <c r="PV46" s="17"/>
      <c r="PW46" s="17" t="s">
        <v>507</v>
      </c>
      <c r="PX46" s="17" t="s">
        <v>507</v>
      </c>
      <c r="PY46" s="17" t="s">
        <v>508</v>
      </c>
      <c r="PZ46" s="17" t="s">
        <v>506</v>
      </c>
      <c r="QA46" s="17" t="s">
        <v>506</v>
      </c>
      <c r="QB46" s="17" t="s">
        <v>507</v>
      </c>
      <c r="QC46" s="17" t="s">
        <v>507</v>
      </c>
      <c r="QD46" s="17" t="s">
        <v>508</v>
      </c>
      <c r="QE46" s="17" t="s">
        <v>506</v>
      </c>
      <c r="QF46" s="17" t="s">
        <v>507</v>
      </c>
      <c r="QG46" s="17" t="s">
        <v>508</v>
      </c>
      <c r="QH46" s="17" t="s">
        <v>508</v>
      </c>
      <c r="QI46" s="17">
        <v>1</v>
      </c>
      <c r="QJ46" s="17">
        <v>1</v>
      </c>
      <c r="QK46" s="17">
        <v>0</v>
      </c>
      <c r="QL46" s="17">
        <v>1</v>
      </c>
      <c r="QM46" s="17">
        <v>0</v>
      </c>
      <c r="QN46" s="17">
        <v>1</v>
      </c>
      <c r="QO46" s="17">
        <v>1</v>
      </c>
      <c r="QP46" s="17">
        <v>1</v>
      </c>
      <c r="QQ46" s="17">
        <v>0</v>
      </c>
      <c r="QR46" s="17">
        <v>0</v>
      </c>
      <c r="QS46" s="17">
        <v>0</v>
      </c>
      <c r="QT46" s="17">
        <v>0</v>
      </c>
      <c r="QU46" s="17">
        <v>0</v>
      </c>
      <c r="QV46" s="17">
        <v>1</v>
      </c>
      <c r="QW46" s="17">
        <v>0</v>
      </c>
      <c r="QX46" s="17">
        <v>0</v>
      </c>
      <c r="QY46" s="17">
        <v>0</v>
      </c>
      <c r="QZ46" s="17">
        <v>0</v>
      </c>
      <c r="RA46" s="17">
        <v>1</v>
      </c>
      <c r="RB46" s="17">
        <v>1</v>
      </c>
      <c r="RC46" s="17">
        <v>1</v>
      </c>
      <c r="RD46" s="17">
        <v>0</v>
      </c>
      <c r="RE46" s="17">
        <v>0</v>
      </c>
      <c r="RF46" s="17">
        <v>0</v>
      </c>
      <c r="RG46" s="17">
        <v>0</v>
      </c>
      <c r="RH46" s="17">
        <v>0</v>
      </c>
      <c r="RI46" s="17">
        <v>0</v>
      </c>
      <c r="RJ46" s="17">
        <v>0</v>
      </c>
      <c r="RK46" s="17">
        <v>0</v>
      </c>
      <c r="RL46" s="17">
        <v>0</v>
      </c>
      <c r="RM46" s="17">
        <v>0</v>
      </c>
      <c r="RN46" s="17">
        <v>1</v>
      </c>
      <c r="RO46" s="17">
        <v>0</v>
      </c>
      <c r="RP46" s="17">
        <v>0</v>
      </c>
      <c r="RQ46" s="17">
        <v>0</v>
      </c>
      <c r="RR46" s="17">
        <v>0</v>
      </c>
      <c r="RS46" s="17">
        <v>0</v>
      </c>
      <c r="RT46" s="17">
        <v>0</v>
      </c>
      <c r="RU46" s="17">
        <v>0</v>
      </c>
      <c r="RV46" s="17">
        <v>0</v>
      </c>
      <c r="RW46" s="17">
        <v>0</v>
      </c>
      <c r="RX46" s="17">
        <v>1</v>
      </c>
      <c r="RY46" s="17">
        <v>0</v>
      </c>
      <c r="RZ46" s="17">
        <v>0</v>
      </c>
      <c r="SA46" s="17">
        <v>0</v>
      </c>
      <c r="SB46" s="17">
        <v>0</v>
      </c>
      <c r="SC46" s="17">
        <v>0</v>
      </c>
      <c r="SD46" s="17">
        <v>1</v>
      </c>
      <c r="SE46" s="17">
        <v>0</v>
      </c>
      <c r="SF46" s="17">
        <v>0</v>
      </c>
      <c r="SG46" s="17">
        <v>1</v>
      </c>
      <c r="SH46" s="17">
        <v>0</v>
      </c>
      <c r="SI46" s="17">
        <v>10047</v>
      </c>
      <c r="SJ46" s="19">
        <f t="shared" si="3"/>
        <v>94</v>
      </c>
      <c r="SK46" s="19">
        <f t="shared" si="4"/>
        <v>94</v>
      </c>
      <c r="SL46" s="19">
        <f t="shared" si="5"/>
        <v>0</v>
      </c>
      <c r="SM46" s="9">
        <v>10047</v>
      </c>
      <c r="SN46" s="9" t="s">
        <v>509</v>
      </c>
      <c r="SO46" s="10">
        <v>1</v>
      </c>
      <c r="SP46" s="9">
        <v>1</v>
      </c>
      <c r="SQ46" s="11" t="s">
        <v>517</v>
      </c>
      <c r="SR46" s="9">
        <v>18</v>
      </c>
      <c r="SS46" s="28">
        <v>66</v>
      </c>
      <c r="ST46" s="28">
        <v>15</v>
      </c>
      <c r="SU46" s="28">
        <v>61</v>
      </c>
      <c r="SV46" s="28">
        <v>11</v>
      </c>
      <c r="SW46" s="28">
        <v>1</v>
      </c>
      <c r="SX46" s="28">
        <v>5</v>
      </c>
      <c r="SY46" s="29">
        <v>0</v>
      </c>
      <c r="SZ46" s="30">
        <v>0</v>
      </c>
      <c r="TA46" s="31">
        <v>16</v>
      </c>
      <c r="TB46" s="31">
        <v>23</v>
      </c>
    </row>
    <row r="47" spans="1:522" ht="15.75" customHeight="1" x14ac:dyDescent="0.2">
      <c r="A47" s="17">
        <v>10048</v>
      </c>
      <c r="B47" s="17" t="s">
        <v>501</v>
      </c>
      <c r="C47" s="17" t="s">
        <v>502</v>
      </c>
      <c r="D47" s="17" t="s">
        <v>512</v>
      </c>
      <c r="E47" s="17" t="s">
        <v>509</v>
      </c>
      <c r="F47" s="18">
        <v>38043</v>
      </c>
      <c r="G47" s="18">
        <v>38539</v>
      </c>
      <c r="H47" s="14">
        <f t="shared" si="2"/>
        <v>16</v>
      </c>
      <c r="I47" s="17" t="s">
        <v>505</v>
      </c>
      <c r="J47" s="17">
        <v>1</v>
      </c>
      <c r="K47" s="17">
        <v>1</v>
      </c>
      <c r="L47" s="17">
        <v>1</v>
      </c>
      <c r="M47" s="17">
        <v>1</v>
      </c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1</v>
      </c>
      <c r="Z47" s="17">
        <v>1</v>
      </c>
      <c r="AA47" s="17">
        <v>1</v>
      </c>
      <c r="AB47" s="17">
        <v>1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17"/>
      <c r="AJ47" s="17">
        <v>1</v>
      </c>
      <c r="AK47" s="17">
        <v>1</v>
      </c>
      <c r="AL47" s="17"/>
      <c r="AM47" s="17">
        <v>1</v>
      </c>
      <c r="AN47" s="17"/>
      <c r="AO47" s="17"/>
      <c r="AP47" s="17" t="s">
        <v>508</v>
      </c>
      <c r="AQ47" s="17">
        <v>2</v>
      </c>
      <c r="AR47" s="17">
        <v>1</v>
      </c>
      <c r="AS47" s="17">
        <v>1</v>
      </c>
      <c r="AT47" s="17">
        <v>1</v>
      </c>
      <c r="AU47" s="17">
        <v>2</v>
      </c>
      <c r="AV47" s="17">
        <v>2</v>
      </c>
      <c r="AW47" s="17">
        <v>1</v>
      </c>
      <c r="AX47" s="17">
        <v>2</v>
      </c>
      <c r="AY47" s="17">
        <v>1</v>
      </c>
      <c r="AZ47" s="17">
        <v>1</v>
      </c>
      <c r="BA47" s="17">
        <v>2</v>
      </c>
      <c r="BB47" s="17">
        <v>1</v>
      </c>
      <c r="BC47" s="17">
        <v>1</v>
      </c>
      <c r="BD47" s="17">
        <v>1</v>
      </c>
      <c r="BE47" s="17">
        <v>1</v>
      </c>
      <c r="BF47" s="17">
        <v>1</v>
      </c>
      <c r="BG47" s="17"/>
      <c r="BH47" s="17">
        <v>1</v>
      </c>
      <c r="BI47" s="17">
        <v>1</v>
      </c>
      <c r="BJ47" s="17">
        <v>1</v>
      </c>
      <c r="BK47" s="17"/>
      <c r="BL47" s="17">
        <v>1</v>
      </c>
      <c r="BM47" s="17"/>
      <c r="BN47" s="17">
        <v>1</v>
      </c>
      <c r="BO47" s="17"/>
      <c r="BP47" s="17">
        <v>1</v>
      </c>
      <c r="BQ47" s="17">
        <v>1</v>
      </c>
      <c r="BR47" s="17">
        <v>1</v>
      </c>
      <c r="BS47" s="17">
        <v>1</v>
      </c>
      <c r="BT47" s="17">
        <v>1</v>
      </c>
      <c r="BU47" s="17"/>
      <c r="BV47" s="17">
        <v>1</v>
      </c>
      <c r="BW47" s="17">
        <v>1</v>
      </c>
      <c r="BX47" s="17">
        <v>1</v>
      </c>
      <c r="BY47" s="17">
        <v>1</v>
      </c>
      <c r="BZ47" s="17">
        <v>1</v>
      </c>
      <c r="CA47" s="17">
        <v>1</v>
      </c>
      <c r="CB47" s="17"/>
      <c r="CC47" s="17"/>
      <c r="CD47" s="17">
        <v>1</v>
      </c>
      <c r="CE47" s="17"/>
      <c r="CF47" s="17">
        <v>1</v>
      </c>
      <c r="CG47" s="17">
        <v>1</v>
      </c>
      <c r="CH47" s="17"/>
      <c r="CI47" s="17">
        <v>1</v>
      </c>
      <c r="CJ47" s="17">
        <v>1</v>
      </c>
      <c r="CK47" s="17"/>
      <c r="CL47" s="17">
        <v>1</v>
      </c>
      <c r="CM47" s="17"/>
      <c r="CN47" s="17"/>
      <c r="CO47" s="17"/>
      <c r="CP47" s="17">
        <v>1</v>
      </c>
      <c r="CQ47" s="17">
        <v>1</v>
      </c>
      <c r="CR47" s="17"/>
      <c r="CS47" s="17">
        <v>1</v>
      </c>
      <c r="CT47" s="17">
        <v>1</v>
      </c>
      <c r="CU47" s="17">
        <v>1</v>
      </c>
      <c r="CV47" s="17"/>
      <c r="CW47" s="17">
        <v>1</v>
      </c>
      <c r="CX47" s="17">
        <v>1</v>
      </c>
      <c r="CY47" s="17"/>
      <c r="CZ47" s="17">
        <v>1</v>
      </c>
      <c r="DA47" s="17">
        <v>1</v>
      </c>
      <c r="DB47" s="17"/>
      <c r="DC47" s="17">
        <v>1</v>
      </c>
      <c r="DD47" s="17">
        <v>1</v>
      </c>
      <c r="DE47" s="17">
        <v>1</v>
      </c>
      <c r="DF47" s="17"/>
      <c r="DG47" s="17"/>
      <c r="DH47" s="17"/>
      <c r="DI47" s="17"/>
      <c r="DJ47" s="17"/>
      <c r="DK47" s="17">
        <v>1</v>
      </c>
      <c r="DL47" s="17">
        <v>1</v>
      </c>
      <c r="DM47" s="17">
        <v>1</v>
      </c>
      <c r="DN47" s="17">
        <v>1</v>
      </c>
      <c r="DO47" s="17"/>
      <c r="DP47" s="17">
        <v>1</v>
      </c>
      <c r="DQ47" s="17">
        <v>1</v>
      </c>
      <c r="DR47" s="17">
        <v>1</v>
      </c>
      <c r="DS47" s="17">
        <v>1</v>
      </c>
      <c r="DT47" s="17"/>
      <c r="DU47" s="17"/>
      <c r="DV47" s="17"/>
      <c r="DW47" s="17">
        <v>1</v>
      </c>
      <c r="DX47" s="17">
        <v>1</v>
      </c>
      <c r="DY47" s="17">
        <v>1</v>
      </c>
      <c r="DZ47" s="17"/>
      <c r="EA47" s="17"/>
      <c r="EB47" s="17">
        <v>1</v>
      </c>
      <c r="EC47" s="17"/>
      <c r="ED47" s="17"/>
      <c r="EE47" s="17"/>
      <c r="EF47" s="17">
        <v>1</v>
      </c>
      <c r="EG47" s="17">
        <v>1</v>
      </c>
      <c r="EH47" s="17"/>
      <c r="EI47" s="17"/>
      <c r="EJ47" s="17"/>
      <c r="EK47" s="17"/>
      <c r="EL47" s="17"/>
      <c r="EM47" s="17">
        <v>1</v>
      </c>
      <c r="EN47" s="17">
        <v>1</v>
      </c>
      <c r="EO47" s="17"/>
      <c r="EP47" s="17">
        <v>1</v>
      </c>
      <c r="EQ47" s="17">
        <v>1</v>
      </c>
      <c r="ER47" s="17"/>
      <c r="ES47" s="17">
        <v>1</v>
      </c>
      <c r="ET47" s="17"/>
      <c r="EU47" s="17"/>
      <c r="EV47" s="17">
        <v>1</v>
      </c>
      <c r="EW47" s="17"/>
      <c r="EX47" s="17">
        <v>1</v>
      </c>
      <c r="EY47" s="17">
        <v>1</v>
      </c>
      <c r="EZ47" s="17"/>
      <c r="FA47" s="17">
        <v>1</v>
      </c>
      <c r="FB47" s="17">
        <v>1</v>
      </c>
      <c r="FC47" s="17">
        <v>1</v>
      </c>
      <c r="FD47" s="17">
        <v>1</v>
      </c>
      <c r="FE47" s="17">
        <v>1</v>
      </c>
      <c r="FF47" s="17">
        <v>1</v>
      </c>
      <c r="FG47" s="17">
        <v>1</v>
      </c>
      <c r="FH47" s="17">
        <v>1</v>
      </c>
      <c r="FI47" s="17">
        <v>1</v>
      </c>
      <c r="FJ47" s="17">
        <v>1</v>
      </c>
      <c r="FK47" s="17"/>
      <c r="FL47" s="17"/>
      <c r="FM47" s="17"/>
      <c r="FN47" s="17">
        <v>1</v>
      </c>
      <c r="FO47" s="17">
        <v>1</v>
      </c>
      <c r="FP47" s="17"/>
      <c r="FQ47" s="17">
        <v>1</v>
      </c>
      <c r="FR47" s="17">
        <v>1</v>
      </c>
      <c r="FS47" s="17">
        <v>1</v>
      </c>
      <c r="FT47" s="17">
        <v>1</v>
      </c>
      <c r="FU47" s="17">
        <v>1</v>
      </c>
      <c r="FV47" s="17"/>
      <c r="FW47" s="17">
        <v>1</v>
      </c>
      <c r="FX47" s="17"/>
      <c r="FY47" s="17"/>
      <c r="FZ47" s="17">
        <v>1</v>
      </c>
      <c r="GA47" s="17"/>
      <c r="GB47" s="17"/>
      <c r="GC47" s="17">
        <v>1</v>
      </c>
      <c r="GD47" s="17"/>
      <c r="GE47" s="17"/>
      <c r="GF47" s="17"/>
      <c r="GG47" s="17"/>
      <c r="GH47" s="17"/>
      <c r="GI47" s="17">
        <v>1</v>
      </c>
      <c r="GJ47" s="17"/>
      <c r="GK47" s="17"/>
      <c r="GL47" s="17"/>
      <c r="GM47" s="17"/>
      <c r="GN47" s="17"/>
      <c r="GO47" s="17"/>
      <c r="GP47" s="17"/>
      <c r="GQ47" s="17">
        <v>1</v>
      </c>
      <c r="GR47" s="17">
        <v>1</v>
      </c>
      <c r="GS47" s="17"/>
      <c r="GT47" s="17">
        <v>1</v>
      </c>
      <c r="GU47" s="17"/>
      <c r="GV47" s="17"/>
      <c r="GW47" s="17">
        <v>1</v>
      </c>
      <c r="GX47" s="17"/>
      <c r="GY47" s="17">
        <v>1</v>
      </c>
      <c r="GZ47" s="17">
        <v>1</v>
      </c>
      <c r="HA47" s="17">
        <v>1</v>
      </c>
      <c r="HB47" s="17">
        <v>2</v>
      </c>
      <c r="HC47" s="17"/>
      <c r="HD47" s="17"/>
      <c r="HE47" s="17">
        <v>1</v>
      </c>
      <c r="HF47" s="17">
        <v>1</v>
      </c>
      <c r="HG47" s="17"/>
      <c r="HH47" s="17">
        <v>1</v>
      </c>
      <c r="HI47" s="17">
        <v>1</v>
      </c>
      <c r="HJ47" s="17">
        <v>1</v>
      </c>
      <c r="HK47" s="17"/>
      <c r="HL47" s="17">
        <v>1</v>
      </c>
      <c r="HM47" s="17"/>
      <c r="HN47" s="17">
        <v>1</v>
      </c>
      <c r="HO47" s="17">
        <v>1</v>
      </c>
      <c r="HP47" s="17">
        <v>1</v>
      </c>
      <c r="HQ47" s="17"/>
      <c r="HR47" s="17"/>
      <c r="HS47" s="17">
        <v>1</v>
      </c>
      <c r="HT47" s="17">
        <v>1</v>
      </c>
      <c r="HU47" s="17">
        <v>1</v>
      </c>
      <c r="HV47" s="17"/>
      <c r="HW47" s="17"/>
      <c r="HX47" s="17">
        <v>1</v>
      </c>
      <c r="HY47" s="17"/>
      <c r="HZ47" s="17">
        <v>1</v>
      </c>
      <c r="IA47" s="17">
        <v>1</v>
      </c>
      <c r="IB47" s="17">
        <v>1</v>
      </c>
      <c r="IC47" s="17">
        <v>1</v>
      </c>
      <c r="ID47" s="17"/>
      <c r="IE47" s="17"/>
      <c r="IF47" s="17">
        <v>1</v>
      </c>
      <c r="IG47" s="17">
        <v>1</v>
      </c>
      <c r="IH47" s="17">
        <v>1</v>
      </c>
      <c r="II47" s="17">
        <v>1</v>
      </c>
      <c r="IJ47" s="17"/>
      <c r="IK47" s="17">
        <v>1</v>
      </c>
      <c r="IL47" s="17">
        <v>1</v>
      </c>
      <c r="IM47" s="17"/>
      <c r="IN47" s="17"/>
      <c r="IO47" s="17"/>
      <c r="IP47" s="17"/>
      <c r="IQ47" s="17"/>
      <c r="IR47" s="17"/>
      <c r="IS47" s="17">
        <v>1</v>
      </c>
      <c r="IT47" s="17">
        <v>1</v>
      </c>
      <c r="IU47" s="17"/>
      <c r="IV47" s="17"/>
      <c r="IW47" s="17">
        <v>1</v>
      </c>
      <c r="IX47" s="17">
        <v>1</v>
      </c>
      <c r="IY47" s="17">
        <v>1</v>
      </c>
      <c r="IZ47" s="17">
        <v>1</v>
      </c>
      <c r="JA47" s="17">
        <v>1</v>
      </c>
      <c r="JB47" s="17"/>
      <c r="JC47" s="17"/>
      <c r="JD47" s="17"/>
      <c r="JE47" s="17"/>
      <c r="JF47" s="17"/>
      <c r="JG47" s="17">
        <v>1</v>
      </c>
      <c r="JH47" s="17"/>
      <c r="JI47" s="17"/>
      <c r="JJ47" s="17"/>
      <c r="JK47" s="17">
        <v>2</v>
      </c>
      <c r="JL47" s="17"/>
      <c r="JM47" s="17">
        <v>2</v>
      </c>
      <c r="JN47" s="17">
        <v>2</v>
      </c>
      <c r="JO47" s="17"/>
      <c r="JP47" s="17"/>
      <c r="JQ47" s="17">
        <v>2</v>
      </c>
      <c r="JR47" s="17">
        <v>1</v>
      </c>
      <c r="JS47" s="17"/>
      <c r="JT47" s="17"/>
      <c r="JU47" s="17"/>
      <c r="JV47" s="17"/>
      <c r="JW47" s="17"/>
      <c r="JX47" s="17">
        <v>1</v>
      </c>
      <c r="JY47" s="17">
        <v>1</v>
      </c>
      <c r="JZ47" s="17">
        <v>1</v>
      </c>
      <c r="KA47" s="17">
        <v>1</v>
      </c>
      <c r="KB47" s="17">
        <v>1</v>
      </c>
      <c r="KC47" s="17">
        <v>1</v>
      </c>
      <c r="KD47" s="17">
        <v>1</v>
      </c>
      <c r="KE47" s="17">
        <v>1</v>
      </c>
      <c r="KF47" s="17">
        <v>1</v>
      </c>
      <c r="KG47" s="17">
        <v>1</v>
      </c>
      <c r="KH47" s="17">
        <v>2</v>
      </c>
      <c r="KI47" s="17">
        <v>1</v>
      </c>
      <c r="KJ47" s="17">
        <v>1</v>
      </c>
      <c r="KK47" s="17">
        <v>1</v>
      </c>
      <c r="KL47" s="17">
        <v>2</v>
      </c>
      <c r="KM47" s="17">
        <v>1</v>
      </c>
      <c r="KN47" s="17"/>
      <c r="KO47" s="17"/>
      <c r="KP47" s="17">
        <v>1</v>
      </c>
      <c r="KQ47" s="17"/>
      <c r="KR47" s="17">
        <v>1</v>
      </c>
      <c r="KS47" s="17"/>
      <c r="KT47" s="17">
        <v>1</v>
      </c>
      <c r="KU47" s="17"/>
      <c r="KV47" s="17"/>
      <c r="KW47" s="17">
        <v>1</v>
      </c>
      <c r="KX47" s="17">
        <v>1</v>
      </c>
      <c r="KY47" s="17">
        <v>1</v>
      </c>
      <c r="KZ47" s="17"/>
      <c r="LA47" s="17">
        <v>1</v>
      </c>
      <c r="LB47" s="17"/>
      <c r="LC47" s="17">
        <v>1</v>
      </c>
      <c r="LD47" s="17">
        <v>1</v>
      </c>
      <c r="LE47" s="17"/>
      <c r="LF47" s="17">
        <v>1</v>
      </c>
      <c r="LG47" s="17">
        <v>1</v>
      </c>
      <c r="LH47" s="17">
        <v>1</v>
      </c>
      <c r="LI47" s="17">
        <v>1</v>
      </c>
      <c r="LJ47" s="17"/>
      <c r="LK47" s="17"/>
      <c r="LL47" s="17">
        <v>1</v>
      </c>
      <c r="LM47" s="17">
        <v>1</v>
      </c>
      <c r="LN47" s="17">
        <v>1</v>
      </c>
      <c r="LO47" s="17"/>
      <c r="LP47" s="17">
        <v>1</v>
      </c>
      <c r="LQ47" s="17">
        <v>1</v>
      </c>
      <c r="LR47" s="17">
        <v>1</v>
      </c>
      <c r="LS47" s="17">
        <v>1</v>
      </c>
      <c r="LT47" s="17">
        <v>1</v>
      </c>
      <c r="LU47" s="17">
        <v>1</v>
      </c>
      <c r="LV47" s="17">
        <v>1</v>
      </c>
      <c r="LW47" s="17">
        <v>1</v>
      </c>
      <c r="LX47" s="17">
        <v>1</v>
      </c>
      <c r="LY47" s="17">
        <v>1</v>
      </c>
      <c r="LZ47" s="17"/>
      <c r="MA47" s="17">
        <v>1</v>
      </c>
      <c r="MB47" s="17">
        <v>1</v>
      </c>
      <c r="MC47" s="17"/>
      <c r="MD47" s="17"/>
      <c r="ME47" s="17">
        <v>1</v>
      </c>
      <c r="MF47" s="17"/>
      <c r="MG47" s="17"/>
      <c r="MH47" s="17">
        <v>1</v>
      </c>
      <c r="MI47" s="17"/>
      <c r="MJ47" s="17">
        <v>1</v>
      </c>
      <c r="MK47" s="17"/>
      <c r="ML47" s="17"/>
      <c r="MM47" s="17">
        <v>1</v>
      </c>
      <c r="MN47" s="17">
        <v>1</v>
      </c>
      <c r="MO47" s="17">
        <v>1</v>
      </c>
      <c r="MP47" s="17">
        <v>1</v>
      </c>
      <c r="MQ47" s="17">
        <v>1</v>
      </c>
      <c r="MR47" s="17">
        <v>1</v>
      </c>
      <c r="MS47" s="17"/>
      <c r="MT47" s="17"/>
      <c r="MU47" s="17"/>
      <c r="MV47" s="17"/>
      <c r="MW47" s="17"/>
      <c r="MX47" s="17"/>
      <c r="MY47" s="17"/>
      <c r="MZ47" s="17"/>
      <c r="NA47" s="17"/>
      <c r="NB47" s="17">
        <v>1</v>
      </c>
      <c r="NC47" s="17"/>
      <c r="ND47" s="17">
        <v>1</v>
      </c>
      <c r="NE47" s="17">
        <v>1</v>
      </c>
      <c r="NF47" s="17"/>
      <c r="NG47" s="17"/>
      <c r="NH47" s="17">
        <v>1</v>
      </c>
      <c r="NI47" s="17">
        <v>1</v>
      </c>
      <c r="NJ47" s="17"/>
      <c r="NK47" s="17"/>
      <c r="NL47" s="17"/>
      <c r="NM47" s="17">
        <v>1</v>
      </c>
      <c r="NN47" s="17"/>
      <c r="NO47" s="17"/>
      <c r="NP47" s="17"/>
      <c r="NQ47" s="17"/>
      <c r="NR47" s="17"/>
      <c r="NS47" s="17">
        <v>1</v>
      </c>
      <c r="NT47" s="17"/>
      <c r="NU47" s="17"/>
      <c r="NV47" s="17">
        <v>1</v>
      </c>
      <c r="NW47" s="17"/>
      <c r="NX47" s="17"/>
      <c r="NY47" s="17">
        <v>1</v>
      </c>
      <c r="NZ47" s="17">
        <v>1</v>
      </c>
      <c r="OA47" s="17">
        <v>1</v>
      </c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>
        <v>2</v>
      </c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>
        <v>1</v>
      </c>
      <c r="PI47" s="17"/>
      <c r="PJ47" s="17"/>
      <c r="PK47" s="17"/>
      <c r="PL47" s="17"/>
      <c r="PM47" s="17">
        <v>1</v>
      </c>
      <c r="PN47" s="17">
        <v>1</v>
      </c>
      <c r="PO47" s="17"/>
      <c r="PP47" s="17"/>
      <c r="PQ47" s="17"/>
      <c r="PR47" s="17"/>
      <c r="PS47" s="17"/>
      <c r="PT47" s="17"/>
      <c r="PU47" s="17"/>
      <c r="PV47" s="17"/>
      <c r="PW47" s="17" t="s">
        <v>506</v>
      </c>
      <c r="PX47" s="17"/>
      <c r="PY47" s="17" t="s">
        <v>506</v>
      </c>
      <c r="PZ47" s="17"/>
      <c r="QA47" s="17" t="s">
        <v>506</v>
      </c>
      <c r="QB47" s="17" t="s">
        <v>506</v>
      </c>
      <c r="QC47" s="17" t="s">
        <v>508</v>
      </c>
      <c r="QD47" s="17" t="s">
        <v>507</v>
      </c>
      <c r="QE47" s="17" t="s">
        <v>506</v>
      </c>
      <c r="QF47" s="17" t="s">
        <v>506</v>
      </c>
      <c r="QG47" s="17" t="s">
        <v>508</v>
      </c>
      <c r="QH47" s="17" t="s">
        <v>507</v>
      </c>
      <c r="QI47" s="17">
        <v>1</v>
      </c>
      <c r="QJ47" s="17">
        <v>1</v>
      </c>
      <c r="QK47" s="17">
        <v>0</v>
      </c>
      <c r="QL47" s="17">
        <v>1</v>
      </c>
      <c r="QM47" s="17">
        <v>0</v>
      </c>
      <c r="QN47" s="17">
        <v>1</v>
      </c>
      <c r="QO47" s="17">
        <v>1</v>
      </c>
      <c r="QP47" s="17">
        <v>1</v>
      </c>
      <c r="QQ47" s="17">
        <v>0</v>
      </c>
      <c r="QR47" s="17">
        <v>1</v>
      </c>
      <c r="QS47" s="17">
        <v>1</v>
      </c>
      <c r="QT47" s="17">
        <v>1</v>
      </c>
      <c r="QU47" s="17">
        <v>1</v>
      </c>
      <c r="QV47" s="17">
        <v>0</v>
      </c>
      <c r="QW47" s="17">
        <v>0</v>
      </c>
      <c r="QX47" s="17">
        <v>0</v>
      </c>
      <c r="QY47" s="17">
        <v>0</v>
      </c>
      <c r="QZ47" s="17">
        <v>1</v>
      </c>
      <c r="RA47" s="17">
        <v>1</v>
      </c>
      <c r="RB47" s="17">
        <v>1</v>
      </c>
      <c r="RC47" s="17">
        <v>1</v>
      </c>
      <c r="RD47" s="17">
        <v>0</v>
      </c>
      <c r="RE47" s="17"/>
      <c r="RF47" s="17">
        <v>0</v>
      </c>
      <c r="RG47" s="17">
        <v>1</v>
      </c>
      <c r="RH47" s="17">
        <v>0</v>
      </c>
      <c r="RI47" s="17">
        <v>0</v>
      </c>
      <c r="RJ47" s="17">
        <v>0</v>
      </c>
      <c r="RK47" s="17">
        <v>1</v>
      </c>
      <c r="RL47" s="17">
        <v>0</v>
      </c>
      <c r="RM47" s="17">
        <v>1</v>
      </c>
      <c r="RN47" s="17">
        <v>1</v>
      </c>
      <c r="RO47" s="17">
        <v>0</v>
      </c>
      <c r="RP47" s="17">
        <v>0</v>
      </c>
      <c r="RQ47" s="17">
        <v>0</v>
      </c>
      <c r="RR47" s="17">
        <v>0</v>
      </c>
      <c r="RS47" s="17">
        <v>0</v>
      </c>
      <c r="RT47" s="17">
        <v>0</v>
      </c>
      <c r="RU47" s="17">
        <v>1</v>
      </c>
      <c r="RV47" s="17">
        <v>0</v>
      </c>
      <c r="RW47" s="17">
        <v>0</v>
      </c>
      <c r="RX47" s="17">
        <v>1</v>
      </c>
      <c r="RY47" s="17">
        <v>0</v>
      </c>
      <c r="RZ47" s="17">
        <v>0</v>
      </c>
      <c r="SA47" s="17">
        <v>1</v>
      </c>
      <c r="SB47" s="17">
        <v>1</v>
      </c>
      <c r="SC47" s="17">
        <v>0</v>
      </c>
      <c r="SD47" s="17">
        <v>1</v>
      </c>
      <c r="SE47" s="17">
        <v>1</v>
      </c>
      <c r="SF47" s="17">
        <v>0</v>
      </c>
      <c r="SG47" s="17">
        <v>0</v>
      </c>
      <c r="SH47" s="17">
        <v>0</v>
      </c>
      <c r="SI47" s="17">
        <v>10048</v>
      </c>
      <c r="SJ47" s="19">
        <f t="shared" si="3"/>
        <v>192</v>
      </c>
      <c r="SK47" s="19">
        <f t="shared" si="4"/>
        <v>205</v>
      </c>
      <c r="SL47" s="19">
        <f t="shared" si="5"/>
        <v>13</v>
      </c>
      <c r="SM47" s="9">
        <v>10048</v>
      </c>
      <c r="SN47" s="9" t="s">
        <v>509</v>
      </c>
      <c r="SO47" s="10">
        <v>1</v>
      </c>
      <c r="SP47" s="9">
        <v>2</v>
      </c>
      <c r="SQ47" s="11" t="s">
        <v>517</v>
      </c>
      <c r="SR47" s="9">
        <v>16</v>
      </c>
      <c r="SS47" s="28">
        <v>58</v>
      </c>
      <c r="ST47" s="28">
        <v>16</v>
      </c>
      <c r="SU47" s="28">
        <v>208</v>
      </c>
      <c r="SV47" s="28">
        <v>49</v>
      </c>
      <c r="SW47" s="28">
        <v>13</v>
      </c>
      <c r="SX47" s="28">
        <v>15</v>
      </c>
      <c r="SY47" s="29">
        <v>34</v>
      </c>
      <c r="SZ47" s="30">
        <v>18</v>
      </c>
      <c r="TA47" s="31">
        <v>25</v>
      </c>
      <c r="TB47" s="31">
        <v>60</v>
      </c>
    </row>
    <row r="48" spans="1:522" ht="15.75" customHeight="1" x14ac:dyDescent="0.2">
      <c r="A48" s="17">
        <v>10049</v>
      </c>
      <c r="B48" s="17" t="s">
        <v>501</v>
      </c>
      <c r="C48" s="17" t="s">
        <v>502</v>
      </c>
      <c r="D48" s="17" t="s">
        <v>512</v>
      </c>
      <c r="E48" s="17" t="s">
        <v>509</v>
      </c>
      <c r="F48" s="18">
        <v>38043</v>
      </c>
      <c r="G48" s="18">
        <v>38557</v>
      </c>
      <c r="H48" s="14">
        <f t="shared" si="2"/>
        <v>16</v>
      </c>
      <c r="I48" s="17" t="s">
        <v>505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/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/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/>
      <c r="AN48" s="17"/>
      <c r="AO48" s="17" t="s">
        <v>506</v>
      </c>
      <c r="AP48" s="17" t="s">
        <v>507</v>
      </c>
      <c r="AQ48" s="17">
        <v>2</v>
      </c>
      <c r="AR48" s="17">
        <v>2</v>
      </c>
      <c r="AS48" s="17"/>
      <c r="AT48" s="17">
        <v>2</v>
      </c>
      <c r="AU48" s="17">
        <v>2</v>
      </c>
      <c r="AV48" s="17">
        <v>2</v>
      </c>
      <c r="AW48" s="17"/>
      <c r="AX48" s="17">
        <v>2</v>
      </c>
      <c r="AY48" s="17">
        <v>2</v>
      </c>
      <c r="AZ48" s="17"/>
      <c r="BA48" s="17">
        <v>2</v>
      </c>
      <c r="BB48" s="17"/>
      <c r="BC48" s="17"/>
      <c r="BD48" s="17">
        <v>1</v>
      </c>
      <c r="BE48" s="17"/>
      <c r="BF48" s="17">
        <v>2</v>
      </c>
      <c r="BG48" s="17">
        <v>2</v>
      </c>
      <c r="BH48" s="17">
        <v>1</v>
      </c>
      <c r="BI48" s="17">
        <v>1</v>
      </c>
      <c r="BJ48" s="17">
        <v>2</v>
      </c>
      <c r="BK48" s="17">
        <v>2</v>
      </c>
      <c r="BL48" s="17">
        <v>2</v>
      </c>
      <c r="BM48" s="17"/>
      <c r="BN48" s="17">
        <v>2</v>
      </c>
      <c r="BO48" s="17"/>
      <c r="BP48" s="17">
        <v>2</v>
      </c>
      <c r="BQ48" s="17">
        <v>1</v>
      </c>
      <c r="BR48" s="17">
        <v>1</v>
      </c>
      <c r="BS48" s="17">
        <v>1</v>
      </c>
      <c r="BT48" s="17">
        <v>1</v>
      </c>
      <c r="BU48" s="17"/>
      <c r="BV48" s="17">
        <v>2</v>
      </c>
      <c r="BW48" s="17">
        <v>2</v>
      </c>
      <c r="BX48" s="17">
        <v>1</v>
      </c>
      <c r="BY48" s="17">
        <v>1</v>
      </c>
      <c r="BZ48" s="17"/>
      <c r="CA48" s="17">
        <v>1</v>
      </c>
      <c r="CB48" s="17">
        <v>1</v>
      </c>
      <c r="CC48" s="17"/>
      <c r="CD48" s="17"/>
      <c r="CE48" s="17"/>
      <c r="CF48" s="17"/>
      <c r="CG48" s="17">
        <v>1</v>
      </c>
      <c r="CH48" s="17"/>
      <c r="CI48" s="17">
        <v>1</v>
      </c>
      <c r="CJ48" s="17">
        <v>2</v>
      </c>
      <c r="CK48" s="17"/>
      <c r="CL48" s="17">
        <v>2</v>
      </c>
      <c r="CM48" s="17">
        <v>1</v>
      </c>
      <c r="CN48" s="17"/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2</v>
      </c>
      <c r="CU48" s="17">
        <v>2</v>
      </c>
      <c r="CV48" s="17">
        <v>2</v>
      </c>
      <c r="CW48" s="17">
        <v>2</v>
      </c>
      <c r="CX48" s="17">
        <v>2</v>
      </c>
      <c r="CY48" s="17">
        <v>2</v>
      </c>
      <c r="CZ48" s="17">
        <v>2</v>
      </c>
      <c r="DA48" s="17">
        <v>2</v>
      </c>
      <c r="DB48" s="17">
        <v>1</v>
      </c>
      <c r="DC48" s="17">
        <v>1</v>
      </c>
      <c r="DD48" s="17">
        <v>2</v>
      </c>
      <c r="DE48" s="17">
        <v>2</v>
      </c>
      <c r="DF48" s="17">
        <v>1</v>
      </c>
      <c r="DG48" s="17"/>
      <c r="DH48" s="17"/>
      <c r="DI48" s="17"/>
      <c r="DJ48" s="17">
        <v>1</v>
      </c>
      <c r="DK48" s="17"/>
      <c r="DL48" s="17"/>
      <c r="DM48" s="17"/>
      <c r="DN48" s="17">
        <v>2</v>
      </c>
      <c r="DO48" s="17"/>
      <c r="DP48" s="17">
        <v>2</v>
      </c>
      <c r="DQ48" s="17"/>
      <c r="DR48" s="17">
        <v>2</v>
      </c>
      <c r="DS48" s="17"/>
      <c r="DT48" s="17"/>
      <c r="DU48" s="17">
        <v>2</v>
      </c>
      <c r="DV48" s="17"/>
      <c r="DW48" s="17">
        <v>2</v>
      </c>
      <c r="DX48" s="17"/>
      <c r="DY48" s="17">
        <v>2</v>
      </c>
      <c r="DZ48" s="17">
        <v>2</v>
      </c>
      <c r="EA48" s="17">
        <v>1</v>
      </c>
      <c r="EB48" s="17"/>
      <c r="EC48" s="17"/>
      <c r="ED48" s="17"/>
      <c r="EE48" s="17"/>
      <c r="EF48" s="17">
        <v>1</v>
      </c>
      <c r="EG48" s="17">
        <v>2</v>
      </c>
      <c r="EH48" s="17"/>
      <c r="EI48" s="17"/>
      <c r="EJ48" s="17"/>
      <c r="EK48" s="17"/>
      <c r="EL48" s="17"/>
      <c r="EM48" s="17">
        <v>2</v>
      </c>
      <c r="EN48" s="17"/>
      <c r="EO48" s="17"/>
      <c r="EP48" s="17"/>
      <c r="EQ48" s="17"/>
      <c r="ER48" s="17"/>
      <c r="ES48" s="17">
        <v>2</v>
      </c>
      <c r="ET48" s="17">
        <v>1</v>
      </c>
      <c r="EU48" s="17">
        <v>1</v>
      </c>
      <c r="EV48" s="17">
        <v>2</v>
      </c>
      <c r="EW48" s="17"/>
      <c r="EX48" s="17">
        <v>1</v>
      </c>
      <c r="EY48" s="17"/>
      <c r="EZ48" s="17"/>
      <c r="FA48" s="17">
        <v>1</v>
      </c>
      <c r="FB48" s="17">
        <v>1</v>
      </c>
      <c r="FC48" s="17"/>
      <c r="FD48" s="17">
        <v>1</v>
      </c>
      <c r="FE48" s="17">
        <v>1</v>
      </c>
      <c r="FF48" s="17">
        <v>1</v>
      </c>
      <c r="FG48" s="17">
        <v>1</v>
      </c>
      <c r="FH48" s="17">
        <v>1</v>
      </c>
      <c r="FI48" s="17">
        <v>1</v>
      </c>
      <c r="FJ48" s="17">
        <v>1</v>
      </c>
      <c r="FK48" s="17">
        <v>1</v>
      </c>
      <c r="FL48" s="17"/>
      <c r="FM48" s="17">
        <v>1</v>
      </c>
      <c r="FN48" s="17">
        <v>1</v>
      </c>
      <c r="FO48" s="17">
        <v>2</v>
      </c>
      <c r="FP48" s="17"/>
      <c r="FQ48" s="17"/>
      <c r="FR48" s="17">
        <v>2</v>
      </c>
      <c r="FS48" s="17"/>
      <c r="FT48" s="17"/>
      <c r="FU48" s="17">
        <v>1</v>
      </c>
      <c r="FV48" s="17"/>
      <c r="FW48" s="17">
        <v>1</v>
      </c>
      <c r="FX48" s="17">
        <v>1</v>
      </c>
      <c r="FY48" s="17">
        <v>1</v>
      </c>
      <c r="FZ48" s="17">
        <v>1</v>
      </c>
      <c r="GA48" s="17"/>
      <c r="GB48" s="17">
        <v>1</v>
      </c>
      <c r="GC48" s="17">
        <v>1</v>
      </c>
      <c r="GD48" s="17"/>
      <c r="GE48" s="17">
        <v>1</v>
      </c>
      <c r="GF48" s="17"/>
      <c r="GG48" s="17">
        <v>1</v>
      </c>
      <c r="GH48" s="17">
        <v>1</v>
      </c>
      <c r="GI48" s="17">
        <v>1</v>
      </c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>
        <v>1</v>
      </c>
      <c r="GX48" s="17"/>
      <c r="GY48" s="17">
        <v>1</v>
      </c>
      <c r="GZ48" s="17">
        <v>1</v>
      </c>
      <c r="HA48" s="17">
        <v>1</v>
      </c>
      <c r="HB48" s="17"/>
      <c r="HC48" s="17">
        <v>1</v>
      </c>
      <c r="HD48" s="17"/>
      <c r="HE48" s="17">
        <v>1</v>
      </c>
      <c r="HF48" s="17">
        <v>1</v>
      </c>
      <c r="HG48" s="17">
        <v>1</v>
      </c>
      <c r="HH48" s="17"/>
      <c r="HI48" s="17">
        <v>1</v>
      </c>
      <c r="HJ48" s="17">
        <v>1</v>
      </c>
      <c r="HK48" s="17">
        <v>1</v>
      </c>
      <c r="HL48" s="17">
        <v>1</v>
      </c>
      <c r="HM48" s="17">
        <v>1</v>
      </c>
      <c r="HN48" s="17"/>
      <c r="HO48" s="17"/>
      <c r="HP48" s="17">
        <v>1</v>
      </c>
      <c r="HQ48" s="17"/>
      <c r="HR48" s="17"/>
      <c r="HS48" s="17"/>
      <c r="HT48" s="17">
        <v>1</v>
      </c>
      <c r="HU48" s="17">
        <v>1</v>
      </c>
      <c r="HV48" s="17">
        <v>2</v>
      </c>
      <c r="HW48" s="17">
        <v>1</v>
      </c>
      <c r="HX48" s="17">
        <v>1</v>
      </c>
      <c r="HY48" s="17">
        <v>1</v>
      </c>
      <c r="HZ48" s="17">
        <v>1</v>
      </c>
      <c r="IA48" s="17">
        <v>1</v>
      </c>
      <c r="IB48" s="17">
        <v>1</v>
      </c>
      <c r="IC48" s="17">
        <v>1</v>
      </c>
      <c r="ID48" s="17">
        <v>1</v>
      </c>
      <c r="IE48" s="17"/>
      <c r="IF48" s="17">
        <v>1</v>
      </c>
      <c r="IG48" s="17"/>
      <c r="IH48" s="17"/>
      <c r="II48" s="17">
        <v>1</v>
      </c>
      <c r="IJ48" s="17">
        <v>1</v>
      </c>
      <c r="IK48" s="17">
        <v>1</v>
      </c>
      <c r="IL48" s="17"/>
      <c r="IM48" s="17"/>
      <c r="IN48" s="17">
        <v>1</v>
      </c>
      <c r="IO48" s="17"/>
      <c r="IP48" s="17">
        <v>1</v>
      </c>
      <c r="IQ48" s="17">
        <v>1</v>
      </c>
      <c r="IR48" s="17">
        <v>1</v>
      </c>
      <c r="IS48" s="17"/>
      <c r="IT48" s="17">
        <v>1</v>
      </c>
      <c r="IU48" s="17"/>
      <c r="IV48" s="17"/>
      <c r="IW48" s="17">
        <v>1</v>
      </c>
      <c r="IX48" s="17"/>
      <c r="IY48" s="17">
        <v>1</v>
      </c>
      <c r="IZ48" s="17"/>
      <c r="JA48" s="17">
        <v>1</v>
      </c>
      <c r="JB48" s="17"/>
      <c r="JC48" s="17"/>
      <c r="JD48" s="17"/>
      <c r="JE48" s="17">
        <v>2</v>
      </c>
      <c r="JF48" s="17"/>
      <c r="JG48" s="17"/>
      <c r="JH48" s="17"/>
      <c r="JI48" s="17">
        <v>1</v>
      </c>
      <c r="JJ48" s="17"/>
      <c r="JK48" s="17">
        <v>2</v>
      </c>
      <c r="JL48" s="17"/>
      <c r="JM48" s="17">
        <v>1</v>
      </c>
      <c r="JN48" s="17">
        <v>1</v>
      </c>
      <c r="JO48" s="17"/>
      <c r="JP48" s="17"/>
      <c r="JQ48" s="17">
        <v>1</v>
      </c>
      <c r="JR48" s="17">
        <v>1</v>
      </c>
      <c r="JS48" s="17"/>
      <c r="JT48" s="17"/>
      <c r="JU48" s="17"/>
      <c r="JV48" s="17"/>
      <c r="JW48" s="17"/>
      <c r="JX48" s="17">
        <v>2</v>
      </c>
      <c r="JY48" s="17"/>
      <c r="JZ48" s="17">
        <v>1</v>
      </c>
      <c r="KA48" s="17"/>
      <c r="KB48" s="17"/>
      <c r="KC48" s="17">
        <v>1</v>
      </c>
      <c r="KD48" s="17">
        <v>1</v>
      </c>
      <c r="KE48" s="17"/>
      <c r="KF48" s="17"/>
      <c r="KG48" s="17">
        <v>1</v>
      </c>
      <c r="KH48" s="17">
        <v>2</v>
      </c>
      <c r="KI48" s="17"/>
      <c r="KJ48" s="17">
        <v>2</v>
      </c>
      <c r="KK48" s="17"/>
      <c r="KL48" s="17">
        <v>1</v>
      </c>
      <c r="KM48" s="17">
        <v>2</v>
      </c>
      <c r="KN48" s="17"/>
      <c r="KO48" s="17"/>
      <c r="KP48" s="17">
        <v>1</v>
      </c>
      <c r="KQ48" s="17">
        <v>1</v>
      </c>
      <c r="KR48" s="17">
        <v>1</v>
      </c>
      <c r="KS48" s="17"/>
      <c r="KT48" s="17">
        <v>1</v>
      </c>
      <c r="KU48" s="17"/>
      <c r="KV48" s="17">
        <v>1</v>
      </c>
      <c r="KW48" s="17">
        <v>1</v>
      </c>
      <c r="KX48" s="17">
        <v>1</v>
      </c>
      <c r="KY48" s="17">
        <v>1</v>
      </c>
      <c r="KZ48" s="17">
        <v>1</v>
      </c>
      <c r="LA48" s="17">
        <v>1</v>
      </c>
      <c r="LB48" s="17">
        <v>1</v>
      </c>
      <c r="LC48" s="17">
        <v>1</v>
      </c>
      <c r="LD48" s="17">
        <v>1</v>
      </c>
      <c r="LE48" s="17"/>
      <c r="LF48" s="17"/>
      <c r="LG48" s="17">
        <v>1</v>
      </c>
      <c r="LH48" s="17">
        <v>1</v>
      </c>
      <c r="LI48" s="17">
        <v>1</v>
      </c>
      <c r="LJ48" s="17">
        <v>1</v>
      </c>
      <c r="LK48" s="17"/>
      <c r="LL48" s="17">
        <v>1</v>
      </c>
      <c r="LM48" s="17"/>
      <c r="LN48" s="17">
        <v>2</v>
      </c>
      <c r="LO48" s="17"/>
      <c r="LP48" s="17">
        <v>2</v>
      </c>
      <c r="LQ48" s="17">
        <v>2</v>
      </c>
      <c r="LR48" s="17"/>
      <c r="LS48" s="17">
        <v>1</v>
      </c>
      <c r="LT48" s="17">
        <v>1</v>
      </c>
      <c r="LU48" s="17">
        <v>1</v>
      </c>
      <c r="LV48" s="17">
        <v>1</v>
      </c>
      <c r="LW48" s="17">
        <v>1</v>
      </c>
      <c r="LX48" s="17">
        <v>1</v>
      </c>
      <c r="LY48" s="17">
        <v>1</v>
      </c>
      <c r="LZ48" s="17">
        <v>1</v>
      </c>
      <c r="MA48" s="17">
        <v>1</v>
      </c>
      <c r="MB48" s="17">
        <v>1</v>
      </c>
      <c r="MC48" s="17"/>
      <c r="MD48" s="17">
        <v>1</v>
      </c>
      <c r="ME48" s="17">
        <v>1</v>
      </c>
      <c r="MF48" s="17">
        <v>1</v>
      </c>
      <c r="MG48" s="17">
        <v>1</v>
      </c>
      <c r="MH48" s="17">
        <v>1</v>
      </c>
      <c r="MI48" s="17">
        <v>1</v>
      </c>
      <c r="MJ48" s="17">
        <v>1</v>
      </c>
      <c r="MK48" s="17"/>
      <c r="ML48" s="17">
        <v>1</v>
      </c>
      <c r="MM48" s="17">
        <v>1</v>
      </c>
      <c r="MN48" s="17">
        <v>1</v>
      </c>
      <c r="MO48" s="17">
        <v>1</v>
      </c>
      <c r="MP48" s="17">
        <v>1</v>
      </c>
      <c r="MQ48" s="17">
        <v>1</v>
      </c>
      <c r="MR48" s="17">
        <v>1</v>
      </c>
      <c r="MS48" s="17"/>
      <c r="MT48" s="17"/>
      <c r="MU48" s="17"/>
      <c r="MV48" s="17"/>
      <c r="MW48" s="17"/>
      <c r="MX48" s="17"/>
      <c r="MY48" s="17"/>
      <c r="MZ48" s="17"/>
      <c r="NA48" s="17"/>
      <c r="NB48" s="17">
        <v>2</v>
      </c>
      <c r="NC48" s="17">
        <v>1</v>
      </c>
      <c r="ND48" s="17"/>
      <c r="NE48" s="17"/>
      <c r="NF48" s="17"/>
      <c r="NG48" s="17"/>
      <c r="NH48" s="17">
        <v>1</v>
      </c>
      <c r="NI48" s="17">
        <v>1</v>
      </c>
      <c r="NJ48" s="17">
        <v>1</v>
      </c>
      <c r="NK48" s="17"/>
      <c r="NL48" s="17"/>
      <c r="NM48" s="17">
        <v>1</v>
      </c>
      <c r="NN48" s="17"/>
      <c r="NO48" s="17">
        <v>1</v>
      </c>
      <c r="NP48" s="17">
        <v>1</v>
      </c>
      <c r="NQ48" s="17"/>
      <c r="NR48" s="17">
        <v>1</v>
      </c>
      <c r="NS48" s="17">
        <v>2</v>
      </c>
      <c r="NT48" s="17"/>
      <c r="NU48" s="17"/>
      <c r="NV48" s="17">
        <v>2</v>
      </c>
      <c r="NW48" s="17">
        <v>1</v>
      </c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>
        <v>1</v>
      </c>
      <c r="OJ48" s="17">
        <v>1</v>
      </c>
      <c r="OK48" s="17">
        <v>1</v>
      </c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>
        <v>1</v>
      </c>
      <c r="PB48" s="17"/>
      <c r="PC48" s="17"/>
      <c r="PD48" s="17"/>
      <c r="PE48" s="17"/>
      <c r="PF48" s="17">
        <v>1</v>
      </c>
      <c r="PG48" s="17">
        <v>1</v>
      </c>
      <c r="PH48" s="17">
        <v>1</v>
      </c>
      <c r="PI48" s="17">
        <v>1</v>
      </c>
      <c r="PJ48" s="17">
        <v>1</v>
      </c>
      <c r="PK48" s="17"/>
      <c r="PL48" s="17">
        <v>1</v>
      </c>
      <c r="PM48" s="17"/>
      <c r="PN48" s="17">
        <v>1</v>
      </c>
      <c r="PO48" s="17"/>
      <c r="PP48" s="17"/>
      <c r="PQ48" s="17">
        <v>2</v>
      </c>
      <c r="PR48" s="17"/>
      <c r="PS48" s="17"/>
      <c r="PT48" s="17"/>
      <c r="PU48" s="17"/>
      <c r="PV48" s="17">
        <v>1</v>
      </c>
      <c r="PW48" s="17" t="s">
        <v>506</v>
      </c>
      <c r="PX48" s="17" t="s">
        <v>506</v>
      </c>
      <c r="PY48" s="17" t="s">
        <v>506</v>
      </c>
      <c r="PZ48" s="17" t="s">
        <v>506</v>
      </c>
      <c r="QA48" s="17" t="s">
        <v>506</v>
      </c>
      <c r="QB48" s="17" t="s">
        <v>507</v>
      </c>
      <c r="QC48" s="17" t="s">
        <v>507</v>
      </c>
      <c r="QD48" s="17" t="s">
        <v>508</v>
      </c>
      <c r="QE48" s="17" t="s">
        <v>507</v>
      </c>
      <c r="QF48" s="17" t="s">
        <v>507</v>
      </c>
      <c r="QG48" s="17" t="s">
        <v>508</v>
      </c>
      <c r="QH48" s="17" t="s">
        <v>507</v>
      </c>
      <c r="QI48" s="17">
        <v>1</v>
      </c>
      <c r="QJ48" s="17">
        <v>0</v>
      </c>
      <c r="QK48" s="17">
        <v>0</v>
      </c>
      <c r="QL48" s="17">
        <v>1</v>
      </c>
      <c r="QM48" s="17">
        <v>1</v>
      </c>
      <c r="QN48" s="17">
        <v>1</v>
      </c>
      <c r="QO48" s="17">
        <v>1</v>
      </c>
      <c r="QP48" s="17">
        <v>1</v>
      </c>
      <c r="QQ48" s="17">
        <v>1</v>
      </c>
      <c r="QR48" s="17">
        <v>1</v>
      </c>
      <c r="QS48" s="17">
        <v>1</v>
      </c>
      <c r="QT48" s="17">
        <v>1</v>
      </c>
      <c r="QU48" s="17">
        <v>1</v>
      </c>
      <c r="QV48" s="17">
        <v>0</v>
      </c>
      <c r="QW48" s="17">
        <v>0</v>
      </c>
      <c r="QX48" s="17">
        <v>1</v>
      </c>
      <c r="QY48" s="17">
        <v>1</v>
      </c>
      <c r="QZ48" s="17">
        <v>1</v>
      </c>
      <c r="RA48" s="17">
        <v>1</v>
      </c>
      <c r="RB48" s="17">
        <v>1</v>
      </c>
      <c r="RC48" s="17">
        <v>1</v>
      </c>
      <c r="RD48" s="17">
        <v>1</v>
      </c>
      <c r="RE48" s="17">
        <v>1</v>
      </c>
      <c r="RF48" s="17">
        <v>0</v>
      </c>
      <c r="RG48" s="17">
        <v>0</v>
      </c>
      <c r="RH48" s="17">
        <v>0</v>
      </c>
      <c r="RI48" s="17">
        <v>0</v>
      </c>
      <c r="RJ48" s="17">
        <v>0</v>
      </c>
      <c r="RK48" s="17">
        <v>0</v>
      </c>
      <c r="RL48" s="17">
        <v>1</v>
      </c>
      <c r="RM48" s="17">
        <v>0</v>
      </c>
      <c r="RN48" s="17">
        <v>1</v>
      </c>
      <c r="RO48" s="17">
        <v>1</v>
      </c>
      <c r="RP48" s="17">
        <v>0</v>
      </c>
      <c r="RQ48" s="17">
        <v>1</v>
      </c>
      <c r="RR48" s="17">
        <v>0</v>
      </c>
      <c r="RS48" s="17">
        <v>1</v>
      </c>
      <c r="RT48" s="17">
        <v>0</v>
      </c>
      <c r="RU48" s="17">
        <v>1</v>
      </c>
      <c r="RV48" s="17">
        <v>0</v>
      </c>
      <c r="RW48" s="17">
        <v>1</v>
      </c>
      <c r="RX48" s="17">
        <v>1</v>
      </c>
      <c r="RY48" s="17">
        <v>1</v>
      </c>
      <c r="RZ48" s="17">
        <v>1</v>
      </c>
      <c r="SA48" s="17">
        <v>1</v>
      </c>
      <c r="SB48" s="17">
        <v>1</v>
      </c>
      <c r="SC48" s="17">
        <v>1</v>
      </c>
      <c r="SD48" s="17">
        <v>0</v>
      </c>
      <c r="SE48" s="17">
        <v>1</v>
      </c>
      <c r="SF48" s="17">
        <v>1</v>
      </c>
      <c r="SG48" s="17">
        <v>1</v>
      </c>
      <c r="SH48" s="17">
        <v>1</v>
      </c>
      <c r="SI48" s="17">
        <v>10049</v>
      </c>
      <c r="SJ48" s="19">
        <f t="shared" si="3"/>
        <v>160</v>
      </c>
      <c r="SK48" s="19">
        <f t="shared" si="4"/>
        <v>216</v>
      </c>
      <c r="SL48" s="19">
        <f t="shared" si="5"/>
        <v>56</v>
      </c>
      <c r="SM48" s="9">
        <v>10049</v>
      </c>
      <c r="SN48" s="9" t="s">
        <v>509</v>
      </c>
      <c r="SO48" s="10">
        <v>2</v>
      </c>
      <c r="SP48" s="9">
        <v>2</v>
      </c>
      <c r="SQ48" s="11" t="s">
        <v>519</v>
      </c>
      <c r="SR48" s="9">
        <v>18</v>
      </c>
      <c r="SS48" s="28">
        <v>61</v>
      </c>
      <c r="ST48" s="28">
        <v>16</v>
      </c>
      <c r="SU48" s="28">
        <v>218</v>
      </c>
      <c r="SV48" s="28">
        <v>53</v>
      </c>
      <c r="SW48" s="28">
        <v>58</v>
      </c>
      <c r="SX48" s="28">
        <v>60</v>
      </c>
      <c r="SY48" s="29">
        <v>45</v>
      </c>
      <c r="SZ48" s="30">
        <v>55</v>
      </c>
      <c r="TA48" s="31">
        <v>25</v>
      </c>
      <c r="TB48" s="31">
        <v>60</v>
      </c>
    </row>
    <row r="49" spans="1:522" ht="15.75" customHeight="1" x14ac:dyDescent="0.2">
      <c r="A49" s="17">
        <v>10050</v>
      </c>
      <c r="B49" s="17" t="s">
        <v>501</v>
      </c>
      <c r="C49" s="17" t="s">
        <v>502</v>
      </c>
      <c r="D49" s="17" t="s">
        <v>512</v>
      </c>
      <c r="E49" s="17" t="s">
        <v>509</v>
      </c>
      <c r="F49" s="18">
        <v>38028</v>
      </c>
      <c r="G49" s="18">
        <v>38502</v>
      </c>
      <c r="H49" s="14">
        <f t="shared" si="2"/>
        <v>15</v>
      </c>
      <c r="I49" s="17" t="s">
        <v>505</v>
      </c>
      <c r="J49" s="17">
        <v>1</v>
      </c>
      <c r="K49" s="17">
        <v>1</v>
      </c>
      <c r="L49" s="17">
        <v>1</v>
      </c>
      <c r="M49" s="17">
        <v>1</v>
      </c>
      <c r="N49" s="17"/>
      <c r="O49" s="17"/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/>
      <c r="X49" s="17"/>
      <c r="Y49" s="17">
        <v>1</v>
      </c>
      <c r="Z49" s="17"/>
      <c r="AA49" s="17">
        <v>1</v>
      </c>
      <c r="AB49" s="17">
        <v>1</v>
      </c>
      <c r="AC49" s="17"/>
      <c r="AD49" s="17"/>
      <c r="AE49" s="17">
        <v>1</v>
      </c>
      <c r="AF49" s="17">
        <v>1</v>
      </c>
      <c r="AG49" s="17"/>
      <c r="AH49" s="17">
        <v>1</v>
      </c>
      <c r="AI49" s="17"/>
      <c r="AJ49" s="17"/>
      <c r="AK49" s="17"/>
      <c r="AL49" s="17">
        <v>1</v>
      </c>
      <c r="AM49" s="17"/>
      <c r="AN49" s="17"/>
      <c r="AO49" s="17" t="s">
        <v>508</v>
      </c>
      <c r="AP49" s="17" t="s">
        <v>508</v>
      </c>
      <c r="AQ49" s="17"/>
      <c r="AR49" s="17">
        <v>1</v>
      </c>
      <c r="AS49" s="17"/>
      <c r="AT49" s="17"/>
      <c r="AU49" s="17"/>
      <c r="AV49" s="17"/>
      <c r="AW49" s="17"/>
      <c r="AX49" s="17"/>
      <c r="AY49" s="17">
        <v>1</v>
      </c>
      <c r="AZ49" s="17">
        <v>2</v>
      </c>
      <c r="BA49" s="17"/>
      <c r="BB49" s="17">
        <v>2</v>
      </c>
      <c r="BC49" s="17"/>
      <c r="BD49" s="17">
        <v>1</v>
      </c>
      <c r="BE49" s="17"/>
      <c r="BF49" s="17">
        <v>1</v>
      </c>
      <c r="BG49" s="17"/>
      <c r="BH49" s="17">
        <v>1</v>
      </c>
      <c r="BI49" s="17"/>
      <c r="BJ49" s="17">
        <v>1</v>
      </c>
      <c r="BK49" s="17"/>
      <c r="BL49" s="17"/>
      <c r="BM49" s="17"/>
      <c r="BN49" s="17"/>
      <c r="BO49" s="17"/>
      <c r="BP49" s="17">
        <v>2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>
        <v>1</v>
      </c>
      <c r="CN49" s="17"/>
      <c r="CO49" s="17"/>
      <c r="CP49" s="17">
        <v>1</v>
      </c>
      <c r="CQ49" s="17"/>
      <c r="CR49" s="17"/>
      <c r="CS49" s="17">
        <v>1</v>
      </c>
      <c r="CT49" s="17">
        <v>1</v>
      </c>
      <c r="CU49" s="17"/>
      <c r="CV49" s="17">
        <v>2</v>
      </c>
      <c r="CW49" s="17">
        <v>1</v>
      </c>
      <c r="CX49" s="17">
        <v>1</v>
      </c>
      <c r="CY49" s="17">
        <v>2</v>
      </c>
      <c r="CZ49" s="17"/>
      <c r="DA49" s="17"/>
      <c r="DB49" s="17">
        <v>1</v>
      </c>
      <c r="DC49" s="17"/>
      <c r="DD49" s="17">
        <v>1</v>
      </c>
      <c r="DE49" s="17">
        <v>2</v>
      </c>
      <c r="DF49" s="17">
        <v>1</v>
      </c>
      <c r="DG49" s="17"/>
      <c r="DH49" s="17"/>
      <c r="DI49" s="17"/>
      <c r="DJ49" s="17">
        <v>1</v>
      </c>
      <c r="DK49" s="17">
        <v>1</v>
      </c>
      <c r="DL49" s="17">
        <v>2</v>
      </c>
      <c r="DM49" s="17">
        <v>1</v>
      </c>
      <c r="DN49" s="17"/>
      <c r="DO49" s="17"/>
      <c r="DP49" s="17">
        <v>1</v>
      </c>
      <c r="DQ49" s="17"/>
      <c r="DR49" s="17">
        <v>1</v>
      </c>
      <c r="DS49" s="17">
        <v>1</v>
      </c>
      <c r="DT49" s="17"/>
      <c r="DU49" s="17"/>
      <c r="DV49" s="17">
        <v>1</v>
      </c>
      <c r="DW49" s="17">
        <v>1</v>
      </c>
      <c r="DX49" s="17"/>
      <c r="DY49" s="17">
        <v>2</v>
      </c>
      <c r="DZ49" s="17"/>
      <c r="EA49" s="17"/>
      <c r="EB49" s="17">
        <v>1</v>
      </c>
      <c r="EC49" s="17"/>
      <c r="ED49" s="17"/>
      <c r="EE49" s="17"/>
      <c r="EF49" s="17"/>
      <c r="EG49" s="17">
        <v>1</v>
      </c>
      <c r="EH49" s="17"/>
      <c r="EI49" s="17"/>
      <c r="EJ49" s="17">
        <v>2</v>
      </c>
      <c r="EK49" s="17"/>
      <c r="EL49" s="17">
        <v>1</v>
      </c>
      <c r="EM49" s="17">
        <v>1</v>
      </c>
      <c r="EN49" s="17"/>
      <c r="EO49" s="17"/>
      <c r="EP49" s="17">
        <v>1</v>
      </c>
      <c r="EQ49" s="17"/>
      <c r="ER49" s="17"/>
      <c r="ES49" s="17">
        <v>1</v>
      </c>
      <c r="ET49" s="17"/>
      <c r="EU49" s="17"/>
      <c r="EV49" s="17">
        <v>1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>
        <v>1</v>
      </c>
      <c r="FJ49" s="17"/>
      <c r="FK49" s="17"/>
      <c r="FL49" s="17"/>
      <c r="FM49" s="17"/>
      <c r="FN49" s="17"/>
      <c r="FO49" s="17">
        <v>1</v>
      </c>
      <c r="FP49" s="17"/>
      <c r="FQ49" s="17">
        <v>1</v>
      </c>
      <c r="FR49" s="17"/>
      <c r="FS49" s="17">
        <v>1</v>
      </c>
      <c r="FT49" s="17">
        <v>1</v>
      </c>
      <c r="FU49" s="17">
        <v>2</v>
      </c>
      <c r="FV49" s="17"/>
      <c r="FW49" s="17"/>
      <c r="FX49" s="17"/>
      <c r="FY49" s="17">
        <v>1</v>
      </c>
      <c r="FZ49" s="17">
        <v>1</v>
      </c>
      <c r="GA49" s="17"/>
      <c r="GB49" s="17">
        <v>1</v>
      </c>
      <c r="GC49" s="17">
        <v>1</v>
      </c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>
        <v>1</v>
      </c>
      <c r="GU49" s="17"/>
      <c r="GV49" s="17"/>
      <c r="GW49" s="17"/>
      <c r="GX49" s="17">
        <v>1</v>
      </c>
      <c r="GY49" s="17">
        <v>1</v>
      </c>
      <c r="GZ49" s="17">
        <v>1</v>
      </c>
      <c r="HA49" s="17"/>
      <c r="HB49" s="17">
        <v>1</v>
      </c>
      <c r="HC49" s="17"/>
      <c r="HD49" s="17"/>
      <c r="HE49" s="17">
        <v>1</v>
      </c>
      <c r="HF49" s="17">
        <v>1</v>
      </c>
      <c r="HG49" s="17">
        <v>1</v>
      </c>
      <c r="HH49" s="17"/>
      <c r="HI49" s="17"/>
      <c r="HJ49" s="17"/>
      <c r="HK49" s="17"/>
      <c r="HL49" s="17"/>
      <c r="HM49" s="17"/>
      <c r="HN49" s="17"/>
      <c r="HO49" s="17">
        <v>1</v>
      </c>
      <c r="HP49" s="17">
        <v>1</v>
      </c>
      <c r="HQ49" s="17"/>
      <c r="HR49" s="17"/>
      <c r="HS49" s="17"/>
      <c r="HT49" s="17">
        <v>1</v>
      </c>
      <c r="HU49" s="17">
        <v>1</v>
      </c>
      <c r="HV49" s="17">
        <v>1</v>
      </c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>
        <v>1</v>
      </c>
      <c r="II49" s="17"/>
      <c r="IJ49" s="17"/>
      <c r="IK49" s="17"/>
      <c r="IL49" s="17"/>
      <c r="IM49" s="17"/>
      <c r="IN49" s="17"/>
      <c r="IO49" s="17"/>
      <c r="IP49" s="17"/>
      <c r="IQ49" s="17"/>
      <c r="IR49" s="17">
        <v>1</v>
      </c>
      <c r="IS49" s="17"/>
      <c r="IT49" s="17"/>
      <c r="IU49" s="17"/>
      <c r="IV49" s="17"/>
      <c r="IW49" s="17"/>
      <c r="IX49" s="17"/>
      <c r="IY49" s="17"/>
      <c r="IZ49" s="17"/>
      <c r="JA49" s="17">
        <v>1</v>
      </c>
      <c r="JB49" s="17"/>
      <c r="JC49" s="17"/>
      <c r="JD49" s="17"/>
      <c r="JE49" s="17">
        <v>1</v>
      </c>
      <c r="JF49" s="17"/>
      <c r="JG49" s="17">
        <v>1</v>
      </c>
      <c r="JH49" s="17"/>
      <c r="JI49" s="17">
        <v>2</v>
      </c>
      <c r="JJ49" s="17"/>
      <c r="JK49" s="17">
        <v>2</v>
      </c>
      <c r="JL49" s="17"/>
      <c r="JM49" s="17">
        <v>2</v>
      </c>
      <c r="JN49" s="17">
        <v>1</v>
      </c>
      <c r="JO49" s="17"/>
      <c r="JP49" s="17"/>
      <c r="JQ49" s="17">
        <v>2</v>
      </c>
      <c r="JR49" s="17">
        <v>1</v>
      </c>
      <c r="JS49" s="17"/>
      <c r="JT49" s="17"/>
      <c r="JU49" s="17"/>
      <c r="JV49" s="17"/>
      <c r="JW49" s="17">
        <v>1</v>
      </c>
      <c r="JX49" s="17">
        <v>1</v>
      </c>
      <c r="JY49" s="17">
        <v>1</v>
      </c>
      <c r="JZ49" s="17">
        <v>1</v>
      </c>
      <c r="KA49" s="17">
        <v>1</v>
      </c>
      <c r="KB49" s="17">
        <v>1</v>
      </c>
      <c r="KC49" s="17"/>
      <c r="KD49" s="17">
        <v>1</v>
      </c>
      <c r="KE49" s="17">
        <v>1</v>
      </c>
      <c r="KF49" s="17">
        <v>1</v>
      </c>
      <c r="KG49" s="17"/>
      <c r="KH49" s="17">
        <v>1</v>
      </c>
      <c r="KI49" s="17"/>
      <c r="KJ49" s="17">
        <v>1</v>
      </c>
      <c r="KK49" s="17"/>
      <c r="KL49" s="17"/>
      <c r="KM49" s="17"/>
      <c r="KN49" s="17">
        <v>1</v>
      </c>
      <c r="KO49" s="17">
        <v>1</v>
      </c>
      <c r="KP49" s="17">
        <v>2</v>
      </c>
      <c r="KQ49" s="17">
        <v>1</v>
      </c>
      <c r="KR49" s="17"/>
      <c r="KS49" s="17"/>
      <c r="KT49" s="17"/>
      <c r="KU49" s="17"/>
      <c r="KV49" s="17"/>
      <c r="KW49" s="17"/>
      <c r="KX49" s="17"/>
      <c r="KY49" s="17">
        <v>1</v>
      </c>
      <c r="KZ49" s="17">
        <v>1</v>
      </c>
      <c r="LA49" s="17">
        <v>1</v>
      </c>
      <c r="LB49" s="17"/>
      <c r="LC49" s="17">
        <v>1</v>
      </c>
      <c r="LD49" s="17"/>
      <c r="LE49" s="17"/>
      <c r="LF49" s="17"/>
      <c r="LG49" s="17">
        <v>1</v>
      </c>
      <c r="LH49" s="17">
        <v>1</v>
      </c>
      <c r="LI49" s="17"/>
      <c r="LJ49" s="17"/>
      <c r="LK49" s="17"/>
      <c r="LL49" s="17"/>
      <c r="LM49" s="17"/>
      <c r="LN49" s="17">
        <v>1</v>
      </c>
      <c r="LO49" s="17"/>
      <c r="LP49" s="17">
        <v>1</v>
      </c>
      <c r="LQ49" s="17">
        <v>1</v>
      </c>
      <c r="LR49" s="17"/>
      <c r="LS49" s="17">
        <v>1</v>
      </c>
      <c r="LT49" s="17"/>
      <c r="LU49" s="17"/>
      <c r="LV49" s="17"/>
      <c r="LW49" s="17"/>
      <c r="LX49" s="17">
        <v>1</v>
      </c>
      <c r="LY49" s="17"/>
      <c r="LZ49" s="17"/>
      <c r="MA49" s="17"/>
      <c r="MB49" s="17"/>
      <c r="MC49" s="17"/>
      <c r="MD49" s="17"/>
      <c r="ME49" s="17"/>
      <c r="MF49" s="17"/>
      <c r="MG49" s="17">
        <v>1</v>
      </c>
      <c r="MH49" s="17"/>
      <c r="MI49" s="17"/>
      <c r="MJ49" s="17"/>
      <c r="MK49" s="17"/>
      <c r="ML49" s="17">
        <v>1</v>
      </c>
      <c r="MM49" s="17"/>
      <c r="MN49" s="17"/>
      <c r="MO49" s="17"/>
      <c r="MP49" s="17"/>
      <c r="MQ49" s="17"/>
      <c r="MR49" s="17">
        <v>1</v>
      </c>
      <c r="MS49" s="17"/>
      <c r="MT49" s="17"/>
      <c r="MU49" s="17"/>
      <c r="MV49" s="17"/>
      <c r="MW49" s="17"/>
      <c r="MX49" s="17"/>
      <c r="MY49" s="17"/>
      <c r="MZ49" s="17"/>
      <c r="NA49" s="17"/>
      <c r="NB49" s="17">
        <v>1</v>
      </c>
      <c r="NC49" s="17"/>
      <c r="ND49" s="17"/>
      <c r="NE49" s="17"/>
      <c r="NF49" s="17"/>
      <c r="NG49" s="17"/>
      <c r="NH49" s="17">
        <v>1</v>
      </c>
      <c r="NI49" s="17"/>
      <c r="NJ49" s="17"/>
      <c r="NK49" s="17">
        <v>1</v>
      </c>
      <c r="NL49" s="17"/>
      <c r="NM49" s="17"/>
      <c r="NN49" s="17"/>
      <c r="NO49" s="17"/>
      <c r="NP49" s="17"/>
      <c r="NQ49" s="17"/>
      <c r="NR49" s="17">
        <v>1</v>
      </c>
      <c r="NS49" s="17"/>
      <c r="NT49" s="17"/>
      <c r="NU49" s="17"/>
      <c r="NV49" s="17"/>
      <c r="NW49" s="17"/>
      <c r="NX49" s="17">
        <v>1</v>
      </c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>
        <v>1</v>
      </c>
      <c r="OJ49" s="17">
        <v>1</v>
      </c>
      <c r="OK49" s="17"/>
      <c r="OL49" s="17"/>
      <c r="OM49" s="17"/>
      <c r="ON49" s="17"/>
      <c r="OO49" s="17"/>
      <c r="OP49" s="17"/>
      <c r="OQ49" s="17"/>
      <c r="OR49" s="17"/>
      <c r="OS49" s="17"/>
      <c r="OT49" s="17">
        <v>2</v>
      </c>
      <c r="OU49" s="17"/>
      <c r="OV49" s="17"/>
      <c r="OW49" s="17"/>
      <c r="OX49" s="17"/>
      <c r="OY49" s="17"/>
      <c r="OZ49" s="17"/>
      <c r="PA49" s="17">
        <v>1</v>
      </c>
      <c r="PB49" s="17"/>
      <c r="PC49" s="17"/>
      <c r="PD49" s="17"/>
      <c r="PE49" s="17">
        <v>1</v>
      </c>
      <c r="PF49" s="17">
        <v>1</v>
      </c>
      <c r="PG49" s="17"/>
      <c r="PH49" s="17"/>
      <c r="PI49" s="17">
        <v>1</v>
      </c>
      <c r="PJ49" s="17">
        <v>1</v>
      </c>
      <c r="PK49" s="17"/>
      <c r="PL49" s="17"/>
      <c r="PM49" s="17"/>
      <c r="PN49" s="17"/>
      <c r="PO49" s="17"/>
      <c r="PP49" s="17"/>
      <c r="PQ49" s="17">
        <v>2</v>
      </c>
      <c r="PR49" s="17"/>
      <c r="PS49" s="17"/>
      <c r="PT49" s="17"/>
      <c r="PU49" s="17"/>
      <c r="PV49" s="17"/>
      <c r="PW49" s="17" t="s">
        <v>507</v>
      </c>
      <c r="PX49" s="17" t="s">
        <v>506</v>
      </c>
      <c r="PY49" s="17" t="s">
        <v>506</v>
      </c>
      <c r="PZ49" s="17" t="s">
        <v>507</v>
      </c>
      <c r="QA49" s="17" t="s">
        <v>507</v>
      </c>
      <c r="QB49" s="17" t="s">
        <v>506</v>
      </c>
      <c r="QC49" s="17" t="s">
        <v>506</v>
      </c>
      <c r="QD49" s="17" t="s">
        <v>508</v>
      </c>
      <c r="QE49" s="17" t="s">
        <v>506</v>
      </c>
      <c r="QF49" s="17" t="s">
        <v>508</v>
      </c>
      <c r="QG49" s="17" t="s">
        <v>507</v>
      </c>
      <c r="QH49" s="17" t="s">
        <v>508</v>
      </c>
      <c r="QI49" s="17">
        <v>1</v>
      </c>
      <c r="QJ49" s="17">
        <v>1</v>
      </c>
      <c r="QK49" s="17">
        <v>0</v>
      </c>
      <c r="QL49" s="17">
        <v>1</v>
      </c>
      <c r="QM49" s="17">
        <v>1</v>
      </c>
      <c r="QN49" s="17">
        <v>1</v>
      </c>
      <c r="QO49" s="17"/>
      <c r="QP49" s="17">
        <v>1</v>
      </c>
      <c r="QQ49" s="17">
        <v>1</v>
      </c>
      <c r="QR49" s="17">
        <v>1</v>
      </c>
      <c r="QS49" s="17">
        <v>1</v>
      </c>
      <c r="QT49" s="17">
        <v>1</v>
      </c>
      <c r="QU49" s="17">
        <v>1</v>
      </c>
      <c r="QV49" s="17">
        <v>1</v>
      </c>
      <c r="QW49" s="17">
        <v>0</v>
      </c>
      <c r="QX49" s="17">
        <v>0</v>
      </c>
      <c r="QY49" s="17">
        <v>1</v>
      </c>
      <c r="QZ49" s="17">
        <v>1</v>
      </c>
      <c r="RA49" s="17">
        <v>1</v>
      </c>
      <c r="RB49" s="17">
        <v>1</v>
      </c>
      <c r="RC49" s="17">
        <v>1</v>
      </c>
      <c r="RD49" s="17">
        <v>0</v>
      </c>
      <c r="RE49" s="17">
        <v>1</v>
      </c>
      <c r="RF49" s="17">
        <v>0</v>
      </c>
      <c r="RG49" s="17">
        <v>0</v>
      </c>
      <c r="RH49" s="17">
        <v>0</v>
      </c>
      <c r="RI49" s="17">
        <v>0</v>
      </c>
      <c r="RJ49" s="17">
        <v>0</v>
      </c>
      <c r="RK49" s="17">
        <v>0</v>
      </c>
      <c r="RL49" s="17">
        <v>0</v>
      </c>
      <c r="RM49" s="17">
        <v>0</v>
      </c>
      <c r="RN49" s="17">
        <v>0</v>
      </c>
      <c r="RO49" s="17">
        <v>0</v>
      </c>
      <c r="RP49" s="17">
        <v>0</v>
      </c>
      <c r="RQ49" s="17">
        <v>0</v>
      </c>
      <c r="RR49" s="17">
        <v>0</v>
      </c>
      <c r="RS49" s="17">
        <v>1</v>
      </c>
      <c r="RT49" s="17">
        <v>0</v>
      </c>
      <c r="RU49" s="17">
        <v>1</v>
      </c>
      <c r="RV49" s="17">
        <v>1</v>
      </c>
      <c r="RW49" s="17">
        <v>1</v>
      </c>
      <c r="RX49" s="17">
        <v>1</v>
      </c>
      <c r="RY49" s="17">
        <v>0</v>
      </c>
      <c r="RZ49" s="17">
        <v>0</v>
      </c>
      <c r="SA49" s="17">
        <v>1</v>
      </c>
      <c r="SB49" s="17">
        <v>0</v>
      </c>
      <c r="SC49" s="17">
        <v>0</v>
      </c>
      <c r="SD49" s="17">
        <v>1</v>
      </c>
      <c r="SE49" s="17">
        <v>1</v>
      </c>
      <c r="SF49" s="17">
        <v>0</v>
      </c>
      <c r="SG49" s="17">
        <v>0</v>
      </c>
      <c r="SH49" s="17">
        <v>1</v>
      </c>
      <c r="SI49" s="17">
        <v>10050</v>
      </c>
      <c r="SJ49" s="19">
        <f t="shared" si="3"/>
        <v>99</v>
      </c>
      <c r="SK49" s="19">
        <f t="shared" si="4"/>
        <v>116</v>
      </c>
      <c r="SL49" s="19">
        <f t="shared" si="5"/>
        <v>17</v>
      </c>
      <c r="SM49" s="9">
        <v>10050</v>
      </c>
      <c r="SN49" s="9" t="s">
        <v>509</v>
      </c>
      <c r="SO49" s="10">
        <v>2</v>
      </c>
      <c r="SP49" s="9">
        <v>2</v>
      </c>
      <c r="SQ49" s="11" t="s">
        <v>515</v>
      </c>
      <c r="SR49" s="9">
        <v>18</v>
      </c>
      <c r="SS49" s="28">
        <v>63.5</v>
      </c>
      <c r="ST49" s="28">
        <v>15</v>
      </c>
      <c r="SU49" s="28">
        <v>116</v>
      </c>
      <c r="SV49" s="28">
        <v>28</v>
      </c>
      <c r="SW49" s="28">
        <v>17</v>
      </c>
      <c r="SX49" s="28">
        <v>38</v>
      </c>
      <c r="SY49" s="29">
        <v>36</v>
      </c>
      <c r="SZ49" s="30">
        <v>33</v>
      </c>
      <c r="TA49" s="31">
        <v>14</v>
      </c>
      <c r="TB49" s="31">
        <v>18</v>
      </c>
    </row>
    <row r="50" spans="1:522" ht="15.75" customHeight="1" x14ac:dyDescent="0.2">
      <c r="A50" s="17">
        <v>10051</v>
      </c>
      <c r="B50" s="17" t="s">
        <v>501</v>
      </c>
      <c r="C50" s="17" t="s">
        <v>502</v>
      </c>
      <c r="D50" s="17" t="s">
        <v>512</v>
      </c>
      <c r="E50" s="17" t="s">
        <v>509</v>
      </c>
      <c r="F50" s="18">
        <v>38029</v>
      </c>
      <c r="G50" s="18">
        <v>38561</v>
      </c>
      <c r="H50" s="14">
        <f t="shared" si="2"/>
        <v>17</v>
      </c>
      <c r="I50" s="17" t="s">
        <v>505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/>
      <c r="T50" s="17">
        <v>1</v>
      </c>
      <c r="U50" s="17">
        <v>1</v>
      </c>
      <c r="V50" s="17"/>
      <c r="W50" s="17"/>
      <c r="X50" s="17"/>
      <c r="Y50" s="17">
        <v>1</v>
      </c>
      <c r="Z50" s="17">
        <v>1</v>
      </c>
      <c r="AA50" s="17">
        <v>1</v>
      </c>
      <c r="AB50" s="17">
        <v>1</v>
      </c>
      <c r="AC50" s="17"/>
      <c r="AD50" s="17"/>
      <c r="AE50" s="17">
        <v>1</v>
      </c>
      <c r="AF50" s="17"/>
      <c r="AG50" s="17">
        <v>1</v>
      </c>
      <c r="AH50" s="17"/>
      <c r="AI50" s="17"/>
      <c r="AJ50" s="17"/>
      <c r="AK50" s="17">
        <v>1</v>
      </c>
      <c r="AL50" s="17">
        <v>1</v>
      </c>
      <c r="AM50" s="17"/>
      <c r="AN50" s="17"/>
      <c r="AO50" s="17" t="s">
        <v>506</v>
      </c>
      <c r="AP50" s="17" t="s">
        <v>506</v>
      </c>
      <c r="AQ50" s="17"/>
      <c r="AR50" s="17"/>
      <c r="AS50" s="17"/>
      <c r="AT50" s="17"/>
      <c r="AU50" s="17"/>
      <c r="AV50" s="17">
        <v>2</v>
      </c>
      <c r="AW50" s="17"/>
      <c r="AX50" s="17">
        <v>2</v>
      </c>
      <c r="AY50" s="17"/>
      <c r="AZ50" s="17"/>
      <c r="BA50" s="17">
        <v>2</v>
      </c>
      <c r="BB50" s="17"/>
      <c r="BC50" s="17"/>
      <c r="BD50" s="17">
        <v>2</v>
      </c>
      <c r="BE50" s="17">
        <v>1</v>
      </c>
      <c r="BF50" s="17">
        <v>2</v>
      </c>
      <c r="BG50" s="17"/>
      <c r="BH50" s="17">
        <v>2</v>
      </c>
      <c r="BI50" s="17">
        <v>2</v>
      </c>
      <c r="BJ50" s="17"/>
      <c r="BK50" s="17"/>
      <c r="BL50" s="17">
        <v>2</v>
      </c>
      <c r="BM50" s="17"/>
      <c r="BN50" s="17">
        <v>2</v>
      </c>
      <c r="BO50" s="17"/>
      <c r="BP50" s="17">
        <v>2</v>
      </c>
      <c r="BQ50" s="17">
        <v>1</v>
      </c>
      <c r="BR50" s="17">
        <v>2</v>
      </c>
      <c r="BS50" s="17">
        <v>2</v>
      </c>
      <c r="BT50" s="17"/>
      <c r="BU50" s="17"/>
      <c r="BV50" s="17"/>
      <c r="BW50" s="17"/>
      <c r="BX50" s="17"/>
      <c r="BY50" s="17"/>
      <c r="BZ50" s="17">
        <v>2</v>
      </c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>
        <v>2</v>
      </c>
      <c r="CN50" s="17"/>
      <c r="CO50" s="17"/>
      <c r="CP50" s="17">
        <v>2</v>
      </c>
      <c r="CQ50" s="17">
        <v>1</v>
      </c>
      <c r="CR50" s="17"/>
      <c r="CS50" s="17"/>
      <c r="CT50" s="17">
        <v>2</v>
      </c>
      <c r="CU50" s="17">
        <v>1</v>
      </c>
      <c r="CV50" s="17">
        <v>2</v>
      </c>
      <c r="CW50" s="17">
        <v>2</v>
      </c>
      <c r="CX50" s="17"/>
      <c r="CY50" s="17">
        <v>2</v>
      </c>
      <c r="CZ50" s="17">
        <v>2</v>
      </c>
      <c r="DA50" s="17">
        <v>2</v>
      </c>
      <c r="DB50" s="17"/>
      <c r="DC50" s="17"/>
      <c r="DD50" s="17">
        <v>2</v>
      </c>
      <c r="DE50" s="17">
        <v>2</v>
      </c>
      <c r="DF50" s="17"/>
      <c r="DG50" s="17"/>
      <c r="DH50" s="17"/>
      <c r="DI50" s="17"/>
      <c r="DJ50" s="17"/>
      <c r="DK50" s="17">
        <v>1</v>
      </c>
      <c r="DL50" s="17">
        <v>1</v>
      </c>
      <c r="DM50" s="17">
        <v>2</v>
      </c>
      <c r="DN50" s="17"/>
      <c r="DO50" s="17">
        <v>2</v>
      </c>
      <c r="DP50" s="17">
        <v>2</v>
      </c>
      <c r="DQ50" s="17">
        <v>2</v>
      </c>
      <c r="DR50" s="17">
        <v>1</v>
      </c>
      <c r="DS50" s="17">
        <v>2</v>
      </c>
      <c r="DT50" s="17">
        <v>2</v>
      </c>
      <c r="DU50" s="17"/>
      <c r="DV50" s="17">
        <v>2</v>
      </c>
      <c r="DW50" s="17">
        <v>1</v>
      </c>
      <c r="DX50" s="17"/>
      <c r="DY50" s="17">
        <v>2</v>
      </c>
      <c r="DZ50" s="17"/>
      <c r="EA50" s="17"/>
      <c r="EB50" s="17"/>
      <c r="EC50" s="17"/>
      <c r="ED50" s="17">
        <v>2</v>
      </c>
      <c r="EE50" s="17"/>
      <c r="EF50" s="17"/>
      <c r="EG50" s="17">
        <v>2</v>
      </c>
      <c r="EH50" s="17"/>
      <c r="EI50" s="17">
        <v>1</v>
      </c>
      <c r="EJ50" s="17"/>
      <c r="EK50" s="17"/>
      <c r="EL50" s="17"/>
      <c r="EM50" s="17">
        <v>2</v>
      </c>
      <c r="EN50" s="17"/>
      <c r="EO50" s="17">
        <v>2</v>
      </c>
      <c r="EP50" s="17"/>
      <c r="EQ50" s="17"/>
      <c r="ER50" s="17"/>
      <c r="ES50" s="17"/>
      <c r="ET50" s="17"/>
      <c r="EU50" s="17"/>
      <c r="EV50" s="17">
        <v>2</v>
      </c>
      <c r="EW50" s="17"/>
      <c r="EX50" s="17">
        <v>2</v>
      </c>
      <c r="EY50" s="17"/>
      <c r="EZ50" s="17"/>
      <c r="FA50" s="17">
        <v>1</v>
      </c>
      <c r="FB50" s="17">
        <v>2</v>
      </c>
      <c r="FC50" s="17"/>
      <c r="FD50" s="17">
        <v>2</v>
      </c>
      <c r="FE50" s="17">
        <v>2</v>
      </c>
      <c r="FF50" s="17">
        <v>2</v>
      </c>
      <c r="FG50" s="17">
        <v>2</v>
      </c>
      <c r="FH50" s="17">
        <v>1</v>
      </c>
      <c r="FI50" s="17"/>
      <c r="FJ50" s="17">
        <v>2</v>
      </c>
      <c r="FK50" s="17">
        <v>2</v>
      </c>
      <c r="FL50" s="17">
        <v>2</v>
      </c>
      <c r="FM50" s="17">
        <v>2</v>
      </c>
      <c r="FN50" s="17">
        <v>2</v>
      </c>
      <c r="FO50" s="17">
        <v>2</v>
      </c>
      <c r="FP50" s="17"/>
      <c r="FQ50" s="17">
        <v>2</v>
      </c>
      <c r="FR50" s="17"/>
      <c r="FS50" s="17">
        <v>2</v>
      </c>
      <c r="FT50" s="17">
        <v>2</v>
      </c>
      <c r="FU50" s="17">
        <v>2</v>
      </c>
      <c r="FV50" s="17">
        <v>2</v>
      </c>
      <c r="FW50" s="17"/>
      <c r="FX50" s="17">
        <v>2</v>
      </c>
      <c r="FY50" s="17"/>
      <c r="FZ50" s="17">
        <v>2</v>
      </c>
      <c r="GA50" s="17">
        <v>2</v>
      </c>
      <c r="GB50" s="17">
        <v>1</v>
      </c>
      <c r="GC50" s="17">
        <v>2</v>
      </c>
      <c r="GD50" s="17"/>
      <c r="GE50" s="17"/>
      <c r="GF50" s="17"/>
      <c r="GG50" s="17"/>
      <c r="GH50" s="17"/>
      <c r="GI50" s="17">
        <v>2</v>
      </c>
      <c r="GJ50" s="17"/>
      <c r="GK50" s="17">
        <v>2</v>
      </c>
      <c r="GL50" s="17"/>
      <c r="GM50" s="17"/>
      <c r="GN50" s="17"/>
      <c r="GO50" s="17"/>
      <c r="GP50" s="17"/>
      <c r="GQ50" s="17"/>
      <c r="GR50" s="17"/>
      <c r="GS50" s="17"/>
      <c r="GT50" s="17">
        <v>1</v>
      </c>
      <c r="GU50" s="17"/>
      <c r="GV50" s="17"/>
      <c r="GW50" s="17"/>
      <c r="GX50" s="17"/>
      <c r="GY50" s="17">
        <v>2</v>
      </c>
      <c r="GZ50" s="17">
        <v>2</v>
      </c>
      <c r="HA50" s="17">
        <v>2</v>
      </c>
      <c r="HB50" s="17"/>
      <c r="HC50" s="17"/>
      <c r="HD50" s="17"/>
      <c r="HE50" s="17"/>
      <c r="HF50" s="17">
        <v>2</v>
      </c>
      <c r="HG50" s="17"/>
      <c r="HH50" s="17"/>
      <c r="HI50" s="17"/>
      <c r="HJ50" s="17"/>
      <c r="HK50" s="17">
        <v>1</v>
      </c>
      <c r="HL50" s="17"/>
      <c r="HM50" s="17"/>
      <c r="HN50" s="17"/>
      <c r="HO50" s="17">
        <v>1</v>
      </c>
      <c r="HP50" s="17"/>
      <c r="HQ50" s="17"/>
      <c r="HR50" s="17"/>
      <c r="HS50" s="17"/>
      <c r="HT50" s="17"/>
      <c r="HU50" s="17"/>
      <c r="HV50" s="17"/>
      <c r="HW50" s="17"/>
      <c r="HX50" s="17">
        <v>2</v>
      </c>
      <c r="HY50" s="17"/>
      <c r="HZ50" s="17"/>
      <c r="IA50" s="17"/>
      <c r="IB50" s="17"/>
      <c r="IC50" s="17">
        <v>2</v>
      </c>
      <c r="ID50" s="17"/>
      <c r="IE50" s="17"/>
      <c r="IF50" s="17">
        <v>2</v>
      </c>
      <c r="IG50" s="17"/>
      <c r="IH50" s="17"/>
      <c r="II50" s="17"/>
      <c r="IJ50" s="17">
        <v>2</v>
      </c>
      <c r="IK50" s="17">
        <v>2</v>
      </c>
      <c r="IL50" s="17"/>
      <c r="IM50" s="17"/>
      <c r="IN50" s="17"/>
      <c r="IO50" s="17"/>
      <c r="IP50" s="17"/>
      <c r="IQ50" s="17"/>
      <c r="IR50" s="17"/>
      <c r="IS50" s="17"/>
      <c r="IT50" s="17">
        <v>2</v>
      </c>
      <c r="IU50" s="17"/>
      <c r="IV50" s="17"/>
      <c r="IW50" s="17"/>
      <c r="IX50" s="17"/>
      <c r="IY50" s="17">
        <v>2</v>
      </c>
      <c r="IZ50" s="17"/>
      <c r="JA50" s="17">
        <v>2</v>
      </c>
      <c r="JB50" s="17"/>
      <c r="JC50" s="17"/>
      <c r="JD50" s="17"/>
      <c r="JE50" s="17">
        <v>2</v>
      </c>
      <c r="JF50" s="17"/>
      <c r="JG50" s="17"/>
      <c r="JH50" s="17"/>
      <c r="JI50" s="17"/>
      <c r="JJ50" s="17"/>
      <c r="JK50" s="17">
        <v>2</v>
      </c>
      <c r="JL50" s="17"/>
      <c r="JM50" s="17">
        <v>2</v>
      </c>
      <c r="JN50" s="17">
        <v>2</v>
      </c>
      <c r="JO50" s="17"/>
      <c r="JP50" s="17"/>
      <c r="JQ50" s="17">
        <v>2</v>
      </c>
      <c r="JR50" s="17"/>
      <c r="JS50" s="17"/>
      <c r="JT50" s="17"/>
      <c r="JU50" s="17"/>
      <c r="JV50" s="17"/>
      <c r="JW50" s="17"/>
      <c r="JX50" s="17">
        <v>2</v>
      </c>
      <c r="JY50" s="17"/>
      <c r="JZ50" s="17">
        <v>2</v>
      </c>
      <c r="KA50" s="17"/>
      <c r="KB50" s="17"/>
      <c r="KC50" s="17">
        <v>2</v>
      </c>
      <c r="KD50" s="17">
        <v>2</v>
      </c>
      <c r="KE50" s="17">
        <v>1</v>
      </c>
      <c r="KF50" s="17">
        <v>1</v>
      </c>
      <c r="KG50" s="17">
        <v>2</v>
      </c>
      <c r="KH50" s="17">
        <v>2</v>
      </c>
      <c r="KI50" s="17"/>
      <c r="KJ50" s="17">
        <v>1</v>
      </c>
      <c r="KK50" s="17"/>
      <c r="KL50" s="17">
        <v>2</v>
      </c>
      <c r="KM50" s="17">
        <v>2</v>
      </c>
      <c r="KN50" s="17"/>
      <c r="KO50" s="17"/>
      <c r="KP50" s="17">
        <v>1</v>
      </c>
      <c r="KQ50" s="17"/>
      <c r="KR50" s="17"/>
      <c r="KS50" s="17"/>
      <c r="KT50" s="17"/>
      <c r="KU50" s="17"/>
      <c r="KV50" s="17"/>
      <c r="KW50" s="17"/>
      <c r="KX50" s="17"/>
      <c r="KY50" s="17">
        <v>2</v>
      </c>
      <c r="KZ50" s="17">
        <v>1</v>
      </c>
      <c r="LA50" s="17">
        <v>1</v>
      </c>
      <c r="LB50" s="17"/>
      <c r="LC50" s="17">
        <v>2</v>
      </c>
      <c r="LD50" s="17"/>
      <c r="LE50" s="17"/>
      <c r="LF50" s="17"/>
      <c r="LG50" s="17">
        <v>1</v>
      </c>
      <c r="LH50" s="17">
        <v>1</v>
      </c>
      <c r="LI50" s="17">
        <v>1</v>
      </c>
      <c r="LJ50" s="17"/>
      <c r="LK50" s="17"/>
      <c r="LL50" s="17">
        <v>2</v>
      </c>
      <c r="LM50" s="17"/>
      <c r="LN50" s="17">
        <v>2</v>
      </c>
      <c r="LO50" s="17">
        <v>2</v>
      </c>
      <c r="LP50" s="17">
        <v>2</v>
      </c>
      <c r="LQ50" s="17"/>
      <c r="LR50" s="17"/>
      <c r="LS50" s="17"/>
      <c r="LT50" s="17">
        <v>1</v>
      </c>
      <c r="LU50" s="17"/>
      <c r="LV50" s="17">
        <v>1</v>
      </c>
      <c r="LW50" s="17"/>
      <c r="LX50" s="17"/>
      <c r="LY50" s="17"/>
      <c r="LZ50" s="17"/>
      <c r="MA50" s="17"/>
      <c r="MB50" s="17"/>
      <c r="MC50" s="17"/>
      <c r="MD50" s="17"/>
      <c r="ME50" s="17">
        <v>2</v>
      </c>
      <c r="MF50" s="17"/>
      <c r="MG50" s="17"/>
      <c r="MH50" s="17">
        <v>1</v>
      </c>
      <c r="MI50" s="17"/>
      <c r="MJ50" s="17"/>
      <c r="MK50" s="17"/>
      <c r="ML50" s="17">
        <v>1</v>
      </c>
      <c r="MM50" s="17"/>
      <c r="MN50" s="17"/>
      <c r="MO50" s="17"/>
      <c r="MP50" s="17"/>
      <c r="MQ50" s="17">
        <v>1</v>
      </c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>
        <v>2</v>
      </c>
      <c r="NC50" s="17">
        <v>1</v>
      </c>
      <c r="ND50" s="17"/>
      <c r="NE50" s="17"/>
      <c r="NF50" s="17"/>
      <c r="NG50" s="17"/>
      <c r="NH50" s="17">
        <v>1</v>
      </c>
      <c r="NI50" s="17"/>
      <c r="NJ50" s="17">
        <v>2</v>
      </c>
      <c r="NK50" s="17"/>
      <c r="NL50" s="17"/>
      <c r="NM50" s="17"/>
      <c r="NN50" s="17"/>
      <c r="NO50" s="17"/>
      <c r="NP50" s="17"/>
      <c r="NQ50" s="17"/>
      <c r="NR50" s="17">
        <v>2</v>
      </c>
      <c r="NS50" s="17"/>
      <c r="NT50" s="17"/>
      <c r="NU50" s="17"/>
      <c r="NV50" s="17">
        <v>2</v>
      </c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>
        <v>1</v>
      </c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>
        <v>2</v>
      </c>
      <c r="PG50" s="17"/>
      <c r="PH50" s="17"/>
      <c r="PI50" s="17"/>
      <c r="PJ50" s="17"/>
      <c r="PK50" s="17"/>
      <c r="PL50" s="17"/>
      <c r="PM50" s="17"/>
      <c r="PN50" s="17">
        <v>2</v>
      </c>
      <c r="PO50" s="17"/>
      <c r="PP50" s="17"/>
      <c r="PQ50" s="17"/>
      <c r="PR50" s="17"/>
      <c r="PS50" s="17"/>
      <c r="PT50" s="17"/>
      <c r="PU50" s="17"/>
      <c r="PV50" s="17"/>
      <c r="PW50" s="17" t="s">
        <v>506</v>
      </c>
      <c r="PX50" s="17" t="s">
        <v>506</v>
      </c>
      <c r="PY50" s="17" t="s">
        <v>506</v>
      </c>
      <c r="PZ50" s="17" t="s">
        <v>507</v>
      </c>
      <c r="QA50" s="17" t="s">
        <v>506</v>
      </c>
      <c r="QB50" s="17" t="s">
        <v>507</v>
      </c>
      <c r="QC50" s="17" t="s">
        <v>508</v>
      </c>
      <c r="QD50" s="17" t="s">
        <v>507</v>
      </c>
      <c r="QE50" s="17"/>
      <c r="QF50" s="17" t="s">
        <v>507</v>
      </c>
      <c r="QG50" s="17" t="s">
        <v>508</v>
      </c>
      <c r="QH50" s="17" t="s">
        <v>507</v>
      </c>
      <c r="QI50" s="17">
        <v>1</v>
      </c>
      <c r="QJ50" s="17">
        <v>1</v>
      </c>
      <c r="QK50" s="17">
        <v>0</v>
      </c>
      <c r="QL50" s="17">
        <v>1</v>
      </c>
      <c r="QM50" s="17">
        <v>1</v>
      </c>
      <c r="QN50" s="17">
        <v>1</v>
      </c>
      <c r="QO50" s="17">
        <v>1</v>
      </c>
      <c r="QP50" s="17">
        <v>1</v>
      </c>
      <c r="QQ50" s="17">
        <v>1</v>
      </c>
      <c r="QR50" s="17">
        <v>1</v>
      </c>
      <c r="QS50" s="17">
        <v>1</v>
      </c>
      <c r="QT50" s="17">
        <v>1</v>
      </c>
      <c r="QU50" s="17">
        <v>1</v>
      </c>
      <c r="QV50" s="17">
        <v>0</v>
      </c>
      <c r="QW50" s="17">
        <v>1</v>
      </c>
      <c r="QX50" s="17">
        <v>0</v>
      </c>
      <c r="QY50" s="17">
        <v>0</v>
      </c>
      <c r="QZ50" s="17">
        <v>1</v>
      </c>
      <c r="RA50" s="17">
        <v>1</v>
      </c>
      <c r="RB50" s="17">
        <v>1</v>
      </c>
      <c r="RC50" s="17">
        <v>1</v>
      </c>
      <c r="RD50" s="17">
        <v>0</v>
      </c>
      <c r="RE50" s="17">
        <v>1</v>
      </c>
      <c r="RF50" s="17">
        <v>0</v>
      </c>
      <c r="RG50" s="17">
        <v>0</v>
      </c>
      <c r="RH50" s="17">
        <v>0</v>
      </c>
      <c r="RI50" s="17">
        <v>0</v>
      </c>
      <c r="RJ50" s="17">
        <v>1</v>
      </c>
      <c r="RK50" s="17">
        <v>0</v>
      </c>
      <c r="RL50" s="17">
        <v>1</v>
      </c>
      <c r="RM50" s="17">
        <v>0</v>
      </c>
      <c r="RN50" s="17">
        <v>1</v>
      </c>
      <c r="RO50" s="17">
        <v>1</v>
      </c>
      <c r="RP50" s="17">
        <v>0</v>
      </c>
      <c r="RQ50" s="17">
        <v>0</v>
      </c>
      <c r="RR50" s="17">
        <v>0</v>
      </c>
      <c r="RS50" s="17">
        <v>1</v>
      </c>
      <c r="RT50" s="17">
        <v>1</v>
      </c>
      <c r="RU50" s="17">
        <v>0</v>
      </c>
      <c r="RV50" s="17">
        <v>0</v>
      </c>
      <c r="RW50" s="17">
        <v>1</v>
      </c>
      <c r="RX50" s="17">
        <v>0</v>
      </c>
      <c r="RY50" s="17">
        <v>0</v>
      </c>
      <c r="RZ50" s="17">
        <v>0</v>
      </c>
      <c r="SA50" s="17">
        <v>0</v>
      </c>
      <c r="SB50" s="17">
        <v>0</v>
      </c>
      <c r="SC50" s="17">
        <v>0</v>
      </c>
      <c r="SD50" s="17">
        <v>0</v>
      </c>
      <c r="SE50" s="17">
        <v>1</v>
      </c>
      <c r="SF50" s="17">
        <v>0</v>
      </c>
      <c r="SG50" s="17">
        <v>1</v>
      </c>
      <c r="SH50" s="17">
        <v>1</v>
      </c>
      <c r="SI50" s="17">
        <v>10051</v>
      </c>
      <c r="SJ50" s="19">
        <f t="shared" si="3"/>
        <v>32</v>
      </c>
      <c r="SK50" s="19">
        <f t="shared" si="4"/>
        <v>129</v>
      </c>
      <c r="SL50" s="19">
        <f t="shared" si="5"/>
        <v>97</v>
      </c>
      <c r="SM50" s="9">
        <v>10051</v>
      </c>
      <c r="SN50" s="9" t="s">
        <v>509</v>
      </c>
      <c r="SO50" s="10">
        <v>1</v>
      </c>
      <c r="SP50" s="9">
        <v>1</v>
      </c>
      <c r="SQ50" s="11" t="s">
        <v>515</v>
      </c>
      <c r="SR50" s="9">
        <v>18</v>
      </c>
      <c r="SS50" s="28">
        <v>61</v>
      </c>
      <c r="ST50" s="28">
        <v>17</v>
      </c>
      <c r="SU50" s="28">
        <v>132</v>
      </c>
      <c r="SV50" s="28">
        <v>17</v>
      </c>
      <c r="SW50" s="28">
        <v>100</v>
      </c>
      <c r="SX50" s="28">
        <v>67</v>
      </c>
      <c r="SY50" s="29">
        <v>36</v>
      </c>
      <c r="SZ50" s="30">
        <v>14</v>
      </c>
      <c r="TA50" s="31">
        <v>16</v>
      </c>
      <c r="TB50" s="31">
        <v>14</v>
      </c>
    </row>
    <row r="51" spans="1:522" ht="15.75" customHeight="1" x14ac:dyDescent="0.2">
      <c r="A51" s="17">
        <v>10052</v>
      </c>
      <c r="B51" s="17" t="s">
        <v>501</v>
      </c>
      <c r="C51" s="17" t="s">
        <v>502</v>
      </c>
      <c r="D51" s="17" t="s">
        <v>512</v>
      </c>
      <c r="E51" s="17" t="s">
        <v>509</v>
      </c>
      <c r="F51" s="18">
        <v>38056</v>
      </c>
      <c r="G51" s="18">
        <v>38563</v>
      </c>
      <c r="H51" s="14">
        <f t="shared" si="2"/>
        <v>16</v>
      </c>
      <c r="I51" s="17" t="s">
        <v>505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/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/>
      <c r="X51" s="17"/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/>
      <c r="AE51" s="17">
        <v>1</v>
      </c>
      <c r="AF51" s="17">
        <v>1</v>
      </c>
      <c r="AG51" s="17">
        <v>1</v>
      </c>
      <c r="AH51" s="17"/>
      <c r="AI51" s="17">
        <v>1</v>
      </c>
      <c r="AJ51" s="17"/>
      <c r="AK51" s="17">
        <v>1</v>
      </c>
      <c r="AL51" s="17"/>
      <c r="AM51" s="17">
        <v>1</v>
      </c>
      <c r="AN51" s="17">
        <v>1</v>
      </c>
      <c r="AO51" s="17" t="s">
        <v>508</v>
      </c>
      <c r="AP51" s="17" t="s">
        <v>508</v>
      </c>
      <c r="AQ51" s="17">
        <v>1</v>
      </c>
      <c r="AR51" s="17"/>
      <c r="AS51" s="17">
        <v>1</v>
      </c>
      <c r="AT51" s="17"/>
      <c r="AU51" s="17">
        <v>1</v>
      </c>
      <c r="AV51" s="17">
        <v>1</v>
      </c>
      <c r="AW51" s="17">
        <v>1</v>
      </c>
      <c r="AX51" s="17">
        <v>1</v>
      </c>
      <c r="AY51" s="17">
        <v>2</v>
      </c>
      <c r="AZ51" s="17">
        <v>2</v>
      </c>
      <c r="BA51" s="17"/>
      <c r="BB51" s="17"/>
      <c r="BC51" s="17">
        <v>1</v>
      </c>
      <c r="BD51" s="17">
        <v>1</v>
      </c>
      <c r="BE51" s="17">
        <v>1</v>
      </c>
      <c r="BF51" s="17">
        <v>1</v>
      </c>
      <c r="BG51" s="17"/>
      <c r="BH51" s="17">
        <v>1</v>
      </c>
      <c r="BI51" s="17">
        <v>1</v>
      </c>
      <c r="BJ51" s="17">
        <v>1</v>
      </c>
      <c r="BK51" s="17">
        <v>1</v>
      </c>
      <c r="BL51" s="17">
        <v>1</v>
      </c>
      <c r="BM51" s="17"/>
      <c r="BN51" s="17">
        <v>1</v>
      </c>
      <c r="BO51" s="17"/>
      <c r="BP51" s="17">
        <v>1</v>
      </c>
      <c r="BQ51" s="17">
        <v>1</v>
      </c>
      <c r="BR51" s="17">
        <v>1</v>
      </c>
      <c r="BS51" s="17">
        <v>1</v>
      </c>
      <c r="BT51" s="17">
        <v>1</v>
      </c>
      <c r="BU51" s="17"/>
      <c r="BV51" s="17">
        <v>1</v>
      </c>
      <c r="BW51" s="17">
        <v>1</v>
      </c>
      <c r="BX51" s="17">
        <v>1</v>
      </c>
      <c r="BY51" s="17">
        <v>1</v>
      </c>
      <c r="BZ51" s="17">
        <v>1</v>
      </c>
      <c r="CA51" s="17"/>
      <c r="CB51" s="17"/>
      <c r="CC51" s="17">
        <v>1</v>
      </c>
      <c r="CD51" s="17">
        <v>1</v>
      </c>
      <c r="CE51" s="17"/>
      <c r="CF51" s="17">
        <v>1</v>
      </c>
      <c r="CG51" s="17">
        <v>1</v>
      </c>
      <c r="CH51" s="17"/>
      <c r="CI51" s="17">
        <v>1</v>
      </c>
      <c r="CJ51" s="17">
        <v>1</v>
      </c>
      <c r="CK51" s="17">
        <v>1</v>
      </c>
      <c r="CL51" s="17"/>
      <c r="CM51" s="17">
        <v>1</v>
      </c>
      <c r="CN51" s="17"/>
      <c r="CO51" s="17">
        <v>1</v>
      </c>
      <c r="CP51" s="17">
        <v>1</v>
      </c>
      <c r="CQ51" s="17"/>
      <c r="CR51" s="17"/>
      <c r="CS51" s="17">
        <v>1</v>
      </c>
      <c r="CT51" s="17">
        <v>1</v>
      </c>
      <c r="CU51" s="17">
        <v>1</v>
      </c>
      <c r="CV51" s="17">
        <v>1</v>
      </c>
      <c r="CW51" s="17">
        <v>1</v>
      </c>
      <c r="CX51" s="17">
        <v>1</v>
      </c>
      <c r="CY51" s="17">
        <v>1</v>
      </c>
      <c r="CZ51" s="17">
        <v>1</v>
      </c>
      <c r="DA51" s="17"/>
      <c r="DB51" s="17"/>
      <c r="DC51" s="17">
        <v>1</v>
      </c>
      <c r="DD51" s="17">
        <v>1</v>
      </c>
      <c r="DE51" s="17">
        <v>1</v>
      </c>
      <c r="DF51" s="17"/>
      <c r="DG51" s="17"/>
      <c r="DH51" s="17"/>
      <c r="DI51" s="17"/>
      <c r="DJ51" s="17">
        <v>1</v>
      </c>
      <c r="DK51" s="17">
        <v>1</v>
      </c>
      <c r="DL51" s="17"/>
      <c r="DM51" s="17">
        <v>1</v>
      </c>
      <c r="DN51" s="17">
        <v>1</v>
      </c>
      <c r="DO51" s="17"/>
      <c r="DP51" s="17"/>
      <c r="DQ51" s="17"/>
      <c r="DR51" s="17">
        <v>1</v>
      </c>
      <c r="DS51" s="17">
        <v>1</v>
      </c>
      <c r="DT51" s="17"/>
      <c r="DU51" s="17"/>
      <c r="DV51" s="17"/>
      <c r="DW51" s="17"/>
      <c r="DX51" s="17"/>
      <c r="DY51" s="17">
        <v>1</v>
      </c>
      <c r="DZ51" s="17">
        <v>1</v>
      </c>
      <c r="EA51" s="17">
        <v>1</v>
      </c>
      <c r="EB51" s="17">
        <v>1</v>
      </c>
      <c r="EC51" s="17"/>
      <c r="ED51" s="17"/>
      <c r="EE51" s="17"/>
      <c r="EF51" s="17"/>
      <c r="EG51" s="17">
        <v>1</v>
      </c>
      <c r="EH51" s="17"/>
      <c r="EI51" s="17"/>
      <c r="EJ51" s="17"/>
      <c r="EK51" s="17">
        <v>1</v>
      </c>
      <c r="EL51" s="17"/>
      <c r="EM51" s="17">
        <v>1</v>
      </c>
      <c r="EN51" s="17">
        <v>1</v>
      </c>
      <c r="EO51" s="17">
        <v>1</v>
      </c>
      <c r="EP51" s="17">
        <v>1</v>
      </c>
      <c r="EQ51" s="17"/>
      <c r="ER51" s="17"/>
      <c r="ES51" s="17">
        <v>1</v>
      </c>
      <c r="ET51" s="17">
        <v>1</v>
      </c>
      <c r="EU51" s="17">
        <v>1</v>
      </c>
      <c r="EV51" s="17">
        <v>1</v>
      </c>
      <c r="EW51" s="17"/>
      <c r="EX51" s="17">
        <v>1</v>
      </c>
      <c r="EY51" s="17">
        <v>1</v>
      </c>
      <c r="EZ51" s="17">
        <v>1</v>
      </c>
      <c r="FA51" s="17">
        <v>1</v>
      </c>
      <c r="FB51" s="17">
        <v>1</v>
      </c>
      <c r="FC51" s="17"/>
      <c r="FD51" s="17">
        <v>1</v>
      </c>
      <c r="FE51" s="17">
        <v>1</v>
      </c>
      <c r="FF51" s="17">
        <v>1</v>
      </c>
      <c r="FG51" s="17">
        <v>1</v>
      </c>
      <c r="FH51" s="17"/>
      <c r="FI51" s="17">
        <v>1</v>
      </c>
      <c r="FJ51" s="17">
        <v>1</v>
      </c>
      <c r="FK51" s="17">
        <v>1</v>
      </c>
      <c r="FL51" s="17"/>
      <c r="FM51" s="17">
        <v>1</v>
      </c>
      <c r="FN51" s="17">
        <v>1</v>
      </c>
      <c r="FO51" s="17">
        <v>1</v>
      </c>
      <c r="FP51" s="17"/>
      <c r="FQ51" s="17">
        <v>1</v>
      </c>
      <c r="FR51" s="17">
        <v>1</v>
      </c>
      <c r="FS51" s="17"/>
      <c r="FT51" s="17"/>
      <c r="FU51" s="17">
        <v>1</v>
      </c>
      <c r="FV51" s="17"/>
      <c r="FW51" s="17"/>
      <c r="FX51" s="17">
        <v>1</v>
      </c>
      <c r="FY51" s="17"/>
      <c r="FZ51" s="17">
        <v>1</v>
      </c>
      <c r="GA51" s="17"/>
      <c r="GB51" s="17"/>
      <c r="GC51" s="17">
        <v>1</v>
      </c>
      <c r="GD51" s="17"/>
      <c r="GE51" s="17">
        <v>1</v>
      </c>
      <c r="GF51" s="17">
        <v>1</v>
      </c>
      <c r="GG51" s="17">
        <v>1</v>
      </c>
      <c r="GH51" s="17"/>
      <c r="GI51" s="17">
        <v>1</v>
      </c>
      <c r="GJ51" s="17"/>
      <c r="GK51" s="17">
        <v>1</v>
      </c>
      <c r="GL51" s="17"/>
      <c r="GM51" s="17"/>
      <c r="GN51" s="17">
        <v>1</v>
      </c>
      <c r="GO51" s="17"/>
      <c r="GP51" s="17">
        <v>1</v>
      </c>
      <c r="GQ51" s="17"/>
      <c r="GR51" s="17">
        <v>1</v>
      </c>
      <c r="GS51" s="17"/>
      <c r="GT51" s="17">
        <v>1</v>
      </c>
      <c r="GU51" s="17"/>
      <c r="GV51" s="17"/>
      <c r="GW51" s="17">
        <v>1</v>
      </c>
      <c r="GX51" s="17">
        <v>1</v>
      </c>
      <c r="GY51" s="17">
        <v>1</v>
      </c>
      <c r="GZ51" s="17">
        <v>1</v>
      </c>
      <c r="HA51" s="17">
        <v>1</v>
      </c>
      <c r="HB51" s="17">
        <v>1</v>
      </c>
      <c r="HC51" s="17"/>
      <c r="HD51" s="17"/>
      <c r="HE51" s="17">
        <v>1</v>
      </c>
      <c r="HF51" s="17">
        <v>1</v>
      </c>
      <c r="HG51" s="17">
        <v>1</v>
      </c>
      <c r="HH51" s="17">
        <v>1</v>
      </c>
      <c r="HI51" s="17">
        <v>1</v>
      </c>
      <c r="HJ51" s="17">
        <v>1</v>
      </c>
      <c r="HK51" s="17">
        <v>1</v>
      </c>
      <c r="HL51" s="17">
        <v>1</v>
      </c>
      <c r="HM51" s="17"/>
      <c r="HN51" s="17"/>
      <c r="HO51" s="17">
        <v>1</v>
      </c>
      <c r="HP51" s="17">
        <v>1</v>
      </c>
      <c r="HQ51" s="17">
        <v>1</v>
      </c>
      <c r="HR51" s="17"/>
      <c r="HS51" s="17"/>
      <c r="HT51" s="17"/>
      <c r="HU51" s="17">
        <v>1</v>
      </c>
      <c r="HV51" s="17">
        <v>2</v>
      </c>
      <c r="HW51" s="17"/>
      <c r="HX51" s="17">
        <v>1</v>
      </c>
      <c r="HY51" s="17"/>
      <c r="HZ51" s="17">
        <v>1</v>
      </c>
      <c r="IA51" s="17"/>
      <c r="IB51" s="17"/>
      <c r="IC51" s="17">
        <v>1</v>
      </c>
      <c r="ID51" s="17"/>
      <c r="IE51" s="17"/>
      <c r="IF51" s="17">
        <v>1</v>
      </c>
      <c r="IG51" s="17"/>
      <c r="IH51" s="17">
        <v>1</v>
      </c>
      <c r="II51" s="17"/>
      <c r="IJ51" s="17"/>
      <c r="IK51" s="17">
        <v>1</v>
      </c>
      <c r="IL51" s="17">
        <v>1</v>
      </c>
      <c r="IM51" s="17"/>
      <c r="IN51" s="17"/>
      <c r="IO51" s="17">
        <v>1</v>
      </c>
      <c r="IP51" s="17"/>
      <c r="IQ51" s="17"/>
      <c r="IR51" s="17">
        <v>1</v>
      </c>
      <c r="IS51" s="17">
        <v>1</v>
      </c>
      <c r="IT51" s="17">
        <v>1</v>
      </c>
      <c r="IU51" s="17"/>
      <c r="IV51" s="17">
        <v>1</v>
      </c>
      <c r="IW51" s="17">
        <v>1</v>
      </c>
      <c r="IX51" s="17">
        <v>1</v>
      </c>
      <c r="IY51" s="17">
        <v>1</v>
      </c>
      <c r="IZ51" s="17">
        <v>1</v>
      </c>
      <c r="JA51" s="17">
        <v>1</v>
      </c>
      <c r="JB51" s="17"/>
      <c r="JC51" s="17"/>
      <c r="JD51" s="17"/>
      <c r="JE51" s="17">
        <v>1</v>
      </c>
      <c r="JF51" s="17">
        <v>1</v>
      </c>
      <c r="JG51" s="17"/>
      <c r="JH51" s="17">
        <v>1</v>
      </c>
      <c r="JI51" s="17"/>
      <c r="JJ51" s="17"/>
      <c r="JK51" s="17">
        <v>1</v>
      </c>
      <c r="JL51" s="17">
        <v>1</v>
      </c>
      <c r="JM51" s="17">
        <v>1</v>
      </c>
      <c r="JN51" s="17">
        <v>1</v>
      </c>
      <c r="JO51" s="17"/>
      <c r="JP51" s="17"/>
      <c r="JQ51" s="17">
        <v>1</v>
      </c>
      <c r="JR51" s="17">
        <v>1</v>
      </c>
      <c r="JS51" s="17"/>
      <c r="JT51" s="17"/>
      <c r="JU51" s="17"/>
      <c r="JV51" s="17"/>
      <c r="JW51" s="17"/>
      <c r="JX51" s="17">
        <v>1</v>
      </c>
      <c r="JY51" s="17">
        <v>1</v>
      </c>
      <c r="JZ51" s="17">
        <v>1</v>
      </c>
      <c r="KA51" s="17">
        <v>1</v>
      </c>
      <c r="KB51" s="17">
        <v>1</v>
      </c>
      <c r="KC51" s="17"/>
      <c r="KD51" s="17">
        <v>1</v>
      </c>
      <c r="KE51" s="17">
        <v>1</v>
      </c>
      <c r="KF51" s="17">
        <v>1</v>
      </c>
      <c r="KG51" s="17">
        <v>1</v>
      </c>
      <c r="KH51" s="17">
        <v>1</v>
      </c>
      <c r="KI51" s="17">
        <v>1</v>
      </c>
      <c r="KJ51" s="17">
        <v>1</v>
      </c>
      <c r="KK51" s="17">
        <v>1</v>
      </c>
      <c r="KL51" s="17"/>
      <c r="KM51" s="17">
        <v>1</v>
      </c>
      <c r="KN51" s="17"/>
      <c r="KO51" s="17"/>
      <c r="KP51" s="17">
        <v>1</v>
      </c>
      <c r="KQ51" s="17"/>
      <c r="KR51" s="17">
        <v>1</v>
      </c>
      <c r="KS51" s="17"/>
      <c r="KT51" s="17"/>
      <c r="KU51" s="17"/>
      <c r="KV51" s="17"/>
      <c r="KW51" s="17">
        <v>1</v>
      </c>
      <c r="KX51" s="17">
        <v>1</v>
      </c>
      <c r="KY51" s="17">
        <v>1</v>
      </c>
      <c r="KZ51" s="17">
        <v>1</v>
      </c>
      <c r="LA51" s="17">
        <v>1</v>
      </c>
      <c r="LB51" s="17">
        <v>1</v>
      </c>
      <c r="LC51" s="17">
        <v>1</v>
      </c>
      <c r="LD51" s="17"/>
      <c r="LE51" s="17"/>
      <c r="LF51" s="17">
        <v>1</v>
      </c>
      <c r="LG51" s="17">
        <v>1</v>
      </c>
      <c r="LH51" s="17">
        <v>1</v>
      </c>
      <c r="LI51" s="17">
        <v>1</v>
      </c>
      <c r="LJ51" s="17">
        <v>1</v>
      </c>
      <c r="LK51" s="17"/>
      <c r="LL51" s="17">
        <v>1</v>
      </c>
      <c r="LM51" s="17"/>
      <c r="LN51" s="17"/>
      <c r="LO51" s="17"/>
      <c r="LP51" s="17">
        <v>1</v>
      </c>
      <c r="LQ51" s="17"/>
      <c r="LR51" s="17">
        <v>1</v>
      </c>
      <c r="LS51" s="17">
        <v>1</v>
      </c>
      <c r="LT51" s="17">
        <v>1</v>
      </c>
      <c r="LU51" s="17">
        <v>1</v>
      </c>
      <c r="LV51" s="17">
        <v>1</v>
      </c>
      <c r="LW51" s="17"/>
      <c r="LX51" s="17">
        <v>1</v>
      </c>
      <c r="LY51" s="17">
        <v>1</v>
      </c>
      <c r="LZ51" s="17"/>
      <c r="MA51" s="17"/>
      <c r="MB51" s="17"/>
      <c r="MC51" s="17"/>
      <c r="MD51" s="17">
        <v>1</v>
      </c>
      <c r="ME51" s="17">
        <v>1</v>
      </c>
      <c r="MF51" s="17">
        <v>1</v>
      </c>
      <c r="MG51" s="17">
        <v>1</v>
      </c>
      <c r="MH51" s="17">
        <v>1</v>
      </c>
      <c r="MI51" s="17">
        <v>1</v>
      </c>
      <c r="MJ51" s="17">
        <v>1</v>
      </c>
      <c r="MK51" s="17"/>
      <c r="ML51" s="17"/>
      <c r="MM51" s="17">
        <v>1</v>
      </c>
      <c r="MN51" s="17"/>
      <c r="MO51" s="17"/>
      <c r="MP51" s="17">
        <v>1</v>
      </c>
      <c r="MQ51" s="17">
        <v>1</v>
      </c>
      <c r="MR51" s="17">
        <v>1</v>
      </c>
      <c r="MS51" s="17">
        <v>1</v>
      </c>
      <c r="MT51" s="17"/>
      <c r="MU51" s="17"/>
      <c r="MV51" s="17"/>
      <c r="MW51" s="17"/>
      <c r="MX51" s="17"/>
      <c r="MY51" s="17"/>
      <c r="MZ51" s="17"/>
      <c r="NA51" s="17"/>
      <c r="NB51" s="17">
        <v>1</v>
      </c>
      <c r="NC51" s="17"/>
      <c r="ND51" s="17"/>
      <c r="NE51" s="17">
        <v>1</v>
      </c>
      <c r="NF51" s="17"/>
      <c r="NG51" s="17"/>
      <c r="NH51" s="17">
        <v>1</v>
      </c>
      <c r="NI51" s="17"/>
      <c r="NJ51" s="17">
        <v>1</v>
      </c>
      <c r="NK51" s="17"/>
      <c r="NL51" s="17"/>
      <c r="NM51" s="17">
        <v>1</v>
      </c>
      <c r="NN51" s="17">
        <v>1</v>
      </c>
      <c r="NO51" s="17"/>
      <c r="NP51" s="17"/>
      <c r="NQ51" s="17"/>
      <c r="NR51" s="17">
        <v>1</v>
      </c>
      <c r="NS51" s="17">
        <v>1</v>
      </c>
      <c r="NT51" s="17">
        <v>1</v>
      </c>
      <c r="NU51" s="17"/>
      <c r="NV51" s="17">
        <v>1</v>
      </c>
      <c r="NW51" s="17">
        <v>1</v>
      </c>
      <c r="NX51" s="17"/>
      <c r="NY51" s="17"/>
      <c r="NZ51" s="17"/>
      <c r="OA51" s="17"/>
      <c r="OB51" s="17"/>
      <c r="OC51" s="17">
        <v>1</v>
      </c>
      <c r="OD51" s="17"/>
      <c r="OE51" s="17"/>
      <c r="OF51" s="17"/>
      <c r="OG51" s="17">
        <v>1</v>
      </c>
      <c r="OH51" s="17"/>
      <c r="OI51" s="17">
        <v>1</v>
      </c>
      <c r="OJ51" s="17">
        <v>1</v>
      </c>
      <c r="OK51" s="17">
        <v>1</v>
      </c>
      <c r="OL51" s="17">
        <v>1</v>
      </c>
      <c r="OM51" s="17">
        <v>1</v>
      </c>
      <c r="ON51" s="17">
        <v>1</v>
      </c>
      <c r="OO51" s="17">
        <v>1</v>
      </c>
      <c r="OP51" s="17">
        <v>1</v>
      </c>
      <c r="OQ51" s="17">
        <v>1</v>
      </c>
      <c r="OR51" s="17">
        <v>1</v>
      </c>
      <c r="OS51" s="17">
        <v>1</v>
      </c>
      <c r="OT51" s="17">
        <v>1</v>
      </c>
      <c r="OU51" s="17">
        <v>1</v>
      </c>
      <c r="OV51" s="17">
        <v>1</v>
      </c>
      <c r="OW51" s="17">
        <v>1</v>
      </c>
      <c r="OX51" s="17"/>
      <c r="OY51" s="17">
        <v>1</v>
      </c>
      <c r="OZ51" s="17"/>
      <c r="PA51" s="17">
        <v>1</v>
      </c>
      <c r="PB51" s="17"/>
      <c r="PC51" s="17"/>
      <c r="PD51" s="17"/>
      <c r="PE51" s="17"/>
      <c r="PF51" s="17"/>
      <c r="PG51" s="17">
        <v>1</v>
      </c>
      <c r="PH51" s="17"/>
      <c r="PI51" s="17">
        <v>1</v>
      </c>
      <c r="PJ51" s="17">
        <v>1</v>
      </c>
      <c r="PK51" s="17">
        <v>1</v>
      </c>
      <c r="PL51" s="17"/>
      <c r="PM51" s="17"/>
      <c r="PN51" s="17">
        <v>1</v>
      </c>
      <c r="PO51" s="17">
        <v>1</v>
      </c>
      <c r="PP51" s="17">
        <v>1</v>
      </c>
      <c r="PQ51" s="17">
        <v>1</v>
      </c>
      <c r="PR51" s="17"/>
      <c r="PS51" s="17"/>
      <c r="PT51" s="17"/>
      <c r="PU51" s="17"/>
      <c r="PV51" s="17"/>
      <c r="PW51" s="17" t="s">
        <v>506</v>
      </c>
      <c r="PX51" s="17" t="s">
        <v>506</v>
      </c>
      <c r="PY51" s="17" t="s">
        <v>506</v>
      </c>
      <c r="PZ51" s="17" t="s">
        <v>506</v>
      </c>
      <c r="QA51" s="17" t="s">
        <v>506</v>
      </c>
      <c r="QB51" s="17" t="s">
        <v>506</v>
      </c>
      <c r="QC51" s="17"/>
      <c r="QD51" s="17"/>
      <c r="QE51" s="17" t="s">
        <v>506</v>
      </c>
      <c r="QF51" s="17" t="s">
        <v>506</v>
      </c>
      <c r="QG51" s="17"/>
      <c r="QH51" s="17" t="s">
        <v>506</v>
      </c>
      <c r="QI51" s="17">
        <v>1</v>
      </c>
      <c r="QJ51" s="17">
        <v>0</v>
      </c>
      <c r="QK51" s="17">
        <v>0</v>
      </c>
      <c r="QL51" s="17">
        <v>1</v>
      </c>
      <c r="QM51" s="17">
        <v>0</v>
      </c>
      <c r="QN51" s="17">
        <v>1</v>
      </c>
      <c r="QO51" s="17">
        <v>1</v>
      </c>
      <c r="QP51" s="17">
        <v>1</v>
      </c>
      <c r="QQ51" s="17">
        <v>1</v>
      </c>
      <c r="QR51" s="17">
        <v>1</v>
      </c>
      <c r="QS51" s="17">
        <v>0</v>
      </c>
      <c r="QT51" s="17">
        <v>1</v>
      </c>
      <c r="QU51" s="17">
        <v>1</v>
      </c>
      <c r="QV51" s="17">
        <v>1</v>
      </c>
      <c r="QW51" s="17">
        <v>1</v>
      </c>
      <c r="QX51" s="17">
        <v>1</v>
      </c>
      <c r="QY51" s="17"/>
      <c r="QZ51" s="17">
        <v>1</v>
      </c>
      <c r="RA51" s="17"/>
      <c r="RB51" s="17">
        <v>1</v>
      </c>
      <c r="RC51" s="17"/>
      <c r="RD51" s="17">
        <v>1</v>
      </c>
      <c r="RE51" s="17">
        <v>1</v>
      </c>
      <c r="RF51" s="17">
        <v>0</v>
      </c>
      <c r="RG51" s="17">
        <v>1</v>
      </c>
      <c r="RH51" s="17">
        <v>1</v>
      </c>
      <c r="RI51" s="17">
        <v>1</v>
      </c>
      <c r="RJ51" s="17">
        <v>0</v>
      </c>
      <c r="RK51" s="17">
        <v>1</v>
      </c>
      <c r="RL51" s="17">
        <v>0</v>
      </c>
      <c r="RM51" s="17">
        <v>0</v>
      </c>
      <c r="RN51" s="17">
        <v>1</v>
      </c>
      <c r="RO51" s="17">
        <v>1</v>
      </c>
      <c r="RP51" s="17">
        <v>0</v>
      </c>
      <c r="RQ51" s="17">
        <v>1</v>
      </c>
      <c r="RR51" s="17">
        <v>0</v>
      </c>
      <c r="RS51" s="17">
        <v>0</v>
      </c>
      <c r="RT51" s="17">
        <v>1</v>
      </c>
      <c r="RU51" s="17">
        <v>0</v>
      </c>
      <c r="RV51" s="17">
        <v>0</v>
      </c>
      <c r="RW51" s="17">
        <v>1</v>
      </c>
      <c r="RX51" s="17">
        <v>1</v>
      </c>
      <c r="RY51" s="17"/>
      <c r="RZ51" s="17"/>
      <c r="SA51" s="17">
        <v>1</v>
      </c>
      <c r="SB51" s="17">
        <v>1</v>
      </c>
      <c r="SC51" s="17">
        <v>0</v>
      </c>
      <c r="SD51" s="17">
        <v>0</v>
      </c>
      <c r="SE51" s="17">
        <v>1</v>
      </c>
      <c r="SF51" s="17">
        <v>1</v>
      </c>
      <c r="SG51" s="17">
        <v>1</v>
      </c>
      <c r="SH51" s="17">
        <v>1</v>
      </c>
      <c r="SI51" s="17">
        <v>10052</v>
      </c>
      <c r="SJ51" s="19">
        <f t="shared" si="3"/>
        <v>228</v>
      </c>
      <c r="SK51" s="19">
        <f t="shared" si="4"/>
        <v>231</v>
      </c>
      <c r="SL51" s="19">
        <f t="shared" si="5"/>
        <v>3</v>
      </c>
      <c r="SM51" s="9">
        <v>10052</v>
      </c>
      <c r="SN51" s="9" t="s">
        <v>509</v>
      </c>
      <c r="SO51" s="10">
        <v>1</v>
      </c>
      <c r="SP51" s="9">
        <v>2</v>
      </c>
      <c r="SQ51" s="11" t="s">
        <v>517</v>
      </c>
      <c r="SR51" s="9">
        <v>16</v>
      </c>
      <c r="SS51" s="28">
        <v>66</v>
      </c>
      <c r="ST51" s="28">
        <v>16</v>
      </c>
      <c r="SU51" s="28">
        <v>229</v>
      </c>
      <c r="SV51" s="28">
        <v>58</v>
      </c>
      <c r="SW51" s="28">
        <v>2</v>
      </c>
      <c r="SX51" s="28">
        <v>7</v>
      </c>
      <c r="SY51" s="29">
        <v>40</v>
      </c>
      <c r="SZ51" s="30">
        <v>33</v>
      </c>
      <c r="TA51" s="31">
        <v>21</v>
      </c>
      <c r="TB51" s="31">
        <v>35</v>
      </c>
    </row>
    <row r="52" spans="1:522" ht="15.75" customHeight="1" x14ac:dyDescent="0.2">
      <c r="A52" s="17">
        <v>10053</v>
      </c>
      <c r="B52" s="17" t="s">
        <v>501</v>
      </c>
      <c r="C52" s="17" t="s">
        <v>502</v>
      </c>
      <c r="D52" s="17" t="s">
        <v>512</v>
      </c>
      <c r="E52" s="17" t="s">
        <v>509</v>
      </c>
      <c r="F52" s="18">
        <v>38050</v>
      </c>
      <c r="G52" s="18">
        <v>38538</v>
      </c>
      <c r="H52" s="14">
        <f t="shared" si="2"/>
        <v>16</v>
      </c>
      <c r="I52" s="17" t="s">
        <v>505</v>
      </c>
      <c r="J52" s="17">
        <v>1</v>
      </c>
      <c r="K52" s="17">
        <v>1</v>
      </c>
      <c r="L52" s="17">
        <v>1</v>
      </c>
      <c r="M52" s="17"/>
      <c r="N52" s="17"/>
      <c r="O52" s="17">
        <v>1</v>
      </c>
      <c r="P52" s="17"/>
      <c r="Q52" s="17">
        <v>1</v>
      </c>
      <c r="R52" s="17">
        <v>1</v>
      </c>
      <c r="S52" s="17">
        <v>1</v>
      </c>
      <c r="T52" s="17"/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/>
      <c r="AA52" s="17"/>
      <c r="AB52" s="17">
        <v>1</v>
      </c>
      <c r="AC52" s="17">
        <v>1</v>
      </c>
      <c r="AD52" s="17"/>
      <c r="AE52" s="17">
        <v>1</v>
      </c>
      <c r="AF52" s="17">
        <v>1</v>
      </c>
      <c r="AG52" s="17">
        <v>1</v>
      </c>
      <c r="AH52" s="17">
        <v>1</v>
      </c>
      <c r="AI52" s="17"/>
      <c r="AJ52" s="17">
        <v>1</v>
      </c>
      <c r="AK52" s="17"/>
      <c r="AL52" s="17"/>
      <c r="AM52" s="17"/>
      <c r="AN52" s="17"/>
      <c r="AO52" s="17" t="s">
        <v>506</v>
      </c>
      <c r="AP52" s="17" t="s">
        <v>507</v>
      </c>
      <c r="AQ52" s="17">
        <v>2</v>
      </c>
      <c r="AR52" s="17"/>
      <c r="AS52" s="17">
        <v>2</v>
      </c>
      <c r="AT52" s="17">
        <v>2</v>
      </c>
      <c r="AU52" s="17">
        <v>2</v>
      </c>
      <c r="AV52" s="17">
        <v>2</v>
      </c>
      <c r="AW52" s="17"/>
      <c r="AX52" s="17">
        <v>2</v>
      </c>
      <c r="AY52" s="17">
        <v>2</v>
      </c>
      <c r="AZ52" s="17">
        <v>2</v>
      </c>
      <c r="BA52" s="17">
        <v>2</v>
      </c>
      <c r="BB52" s="17">
        <v>2</v>
      </c>
      <c r="BC52" s="17"/>
      <c r="BD52" s="17">
        <v>1</v>
      </c>
      <c r="BE52" s="17">
        <v>1</v>
      </c>
      <c r="BF52" s="17">
        <v>2</v>
      </c>
      <c r="BG52" s="17"/>
      <c r="BH52" s="17">
        <v>1</v>
      </c>
      <c r="BI52" s="17">
        <v>1</v>
      </c>
      <c r="BJ52" s="17">
        <v>2</v>
      </c>
      <c r="BK52" s="17">
        <v>1</v>
      </c>
      <c r="BL52" s="17">
        <v>1</v>
      </c>
      <c r="BM52" s="17"/>
      <c r="BN52" s="17">
        <v>2</v>
      </c>
      <c r="BO52" s="17">
        <v>1</v>
      </c>
      <c r="BP52" s="17">
        <v>2</v>
      </c>
      <c r="BQ52" s="17">
        <v>1</v>
      </c>
      <c r="BR52" s="17">
        <v>2</v>
      </c>
      <c r="BS52" s="17"/>
      <c r="BT52" s="17"/>
      <c r="BU52" s="17">
        <v>1</v>
      </c>
      <c r="BV52" s="17">
        <v>1</v>
      </c>
      <c r="BW52" s="17"/>
      <c r="BX52" s="17">
        <v>1</v>
      </c>
      <c r="BY52" s="17">
        <v>1</v>
      </c>
      <c r="BZ52" s="17">
        <v>1</v>
      </c>
      <c r="CA52" s="17"/>
      <c r="CB52" s="17">
        <v>1</v>
      </c>
      <c r="CC52" s="17">
        <v>1</v>
      </c>
      <c r="CD52" s="17">
        <v>1</v>
      </c>
      <c r="CE52" s="17"/>
      <c r="CF52" s="17">
        <v>2</v>
      </c>
      <c r="CG52" s="17">
        <v>1</v>
      </c>
      <c r="CH52" s="17"/>
      <c r="CI52" s="17"/>
      <c r="CJ52" s="17">
        <v>1</v>
      </c>
      <c r="CK52" s="17"/>
      <c r="CL52" s="17"/>
      <c r="CM52" s="17"/>
      <c r="CN52" s="17"/>
      <c r="CO52" s="17"/>
      <c r="CP52" s="17">
        <v>1</v>
      </c>
      <c r="CQ52" s="17"/>
      <c r="CR52" s="17"/>
      <c r="CS52" s="17"/>
      <c r="CT52" s="17"/>
      <c r="CU52" s="17"/>
      <c r="CV52" s="17">
        <v>2</v>
      </c>
      <c r="CW52" s="17">
        <v>2</v>
      </c>
      <c r="CX52" s="17">
        <v>1</v>
      </c>
      <c r="CY52" s="17">
        <v>2</v>
      </c>
      <c r="CZ52" s="17">
        <v>2</v>
      </c>
      <c r="DA52" s="17">
        <v>1</v>
      </c>
      <c r="DB52" s="17"/>
      <c r="DC52" s="17"/>
      <c r="DD52" s="17">
        <v>2</v>
      </c>
      <c r="DE52" s="17">
        <v>2</v>
      </c>
      <c r="DF52" s="17">
        <v>1</v>
      </c>
      <c r="DG52" s="17"/>
      <c r="DH52" s="17"/>
      <c r="DI52" s="17"/>
      <c r="DJ52" s="17">
        <v>1</v>
      </c>
      <c r="DK52" s="17"/>
      <c r="DL52" s="17">
        <v>1</v>
      </c>
      <c r="DM52" s="17">
        <v>1</v>
      </c>
      <c r="DN52" s="17"/>
      <c r="DO52" s="17"/>
      <c r="DP52" s="17">
        <v>1</v>
      </c>
      <c r="DQ52" s="17">
        <v>2</v>
      </c>
      <c r="DR52" s="17">
        <v>1</v>
      </c>
      <c r="DS52" s="17"/>
      <c r="DT52" s="17"/>
      <c r="DU52" s="17">
        <v>1</v>
      </c>
      <c r="DV52" s="17"/>
      <c r="DW52" s="17"/>
      <c r="DX52" s="17"/>
      <c r="DY52" s="17">
        <v>1</v>
      </c>
      <c r="DZ52" s="17"/>
      <c r="EA52" s="17">
        <v>1</v>
      </c>
      <c r="EB52" s="17"/>
      <c r="EC52" s="17">
        <v>1</v>
      </c>
      <c r="ED52" s="17"/>
      <c r="EE52" s="17"/>
      <c r="EF52" s="17">
        <v>1</v>
      </c>
      <c r="EG52" s="17">
        <v>2</v>
      </c>
      <c r="EH52" s="17"/>
      <c r="EI52" s="17"/>
      <c r="EJ52" s="17"/>
      <c r="EK52" s="17"/>
      <c r="EL52" s="17">
        <v>1</v>
      </c>
      <c r="EM52" s="17">
        <v>2</v>
      </c>
      <c r="EN52" s="17"/>
      <c r="EO52" s="17">
        <v>1</v>
      </c>
      <c r="EP52" s="17"/>
      <c r="EQ52" s="17"/>
      <c r="ER52" s="17"/>
      <c r="ES52" s="17">
        <v>1</v>
      </c>
      <c r="ET52" s="17">
        <v>1</v>
      </c>
      <c r="EU52" s="17">
        <v>1</v>
      </c>
      <c r="EV52" s="17">
        <v>2</v>
      </c>
      <c r="EW52" s="17"/>
      <c r="EX52" s="17">
        <v>1</v>
      </c>
      <c r="EY52" s="17"/>
      <c r="EZ52" s="17"/>
      <c r="FA52" s="17">
        <v>1</v>
      </c>
      <c r="FB52" s="17">
        <v>1</v>
      </c>
      <c r="FC52" s="17">
        <v>1</v>
      </c>
      <c r="FD52" s="17">
        <v>1</v>
      </c>
      <c r="FE52" s="17">
        <v>1</v>
      </c>
      <c r="FF52" s="17"/>
      <c r="FG52" s="17">
        <v>2</v>
      </c>
      <c r="FH52" s="17"/>
      <c r="FI52" s="17"/>
      <c r="FJ52" s="17"/>
      <c r="FK52" s="17">
        <v>1</v>
      </c>
      <c r="FL52" s="17">
        <v>1</v>
      </c>
      <c r="FM52" s="17">
        <v>1</v>
      </c>
      <c r="FN52" s="17">
        <v>1</v>
      </c>
      <c r="FO52" s="17">
        <v>2</v>
      </c>
      <c r="FP52" s="17"/>
      <c r="FQ52" s="17"/>
      <c r="FR52" s="17"/>
      <c r="FS52" s="17"/>
      <c r="FT52" s="17">
        <v>2</v>
      </c>
      <c r="FU52" s="17">
        <v>1</v>
      </c>
      <c r="FV52" s="17">
        <v>1</v>
      </c>
      <c r="FW52" s="17"/>
      <c r="FX52" s="17"/>
      <c r="FY52" s="17"/>
      <c r="FZ52" s="17">
        <v>1</v>
      </c>
      <c r="GA52" s="17"/>
      <c r="GB52" s="17"/>
      <c r="GC52" s="17">
        <v>1</v>
      </c>
      <c r="GD52" s="17"/>
      <c r="GE52" s="17">
        <v>1</v>
      </c>
      <c r="GF52" s="17"/>
      <c r="GG52" s="17">
        <v>1</v>
      </c>
      <c r="GH52" s="17"/>
      <c r="GI52" s="17">
        <v>1</v>
      </c>
      <c r="GJ52" s="17"/>
      <c r="GK52" s="17">
        <v>1</v>
      </c>
      <c r="GL52" s="17"/>
      <c r="GM52" s="17"/>
      <c r="GN52" s="17"/>
      <c r="GO52" s="17"/>
      <c r="GP52" s="17"/>
      <c r="GQ52" s="17"/>
      <c r="GR52" s="17">
        <v>1</v>
      </c>
      <c r="GS52" s="17">
        <v>1</v>
      </c>
      <c r="GT52" s="17">
        <v>1</v>
      </c>
      <c r="GU52" s="17"/>
      <c r="GV52" s="17"/>
      <c r="GW52" s="17"/>
      <c r="GX52" s="17">
        <v>1</v>
      </c>
      <c r="GY52" s="17">
        <v>1</v>
      </c>
      <c r="GZ52" s="17"/>
      <c r="HA52" s="17">
        <v>1</v>
      </c>
      <c r="HB52" s="17"/>
      <c r="HC52" s="17"/>
      <c r="HD52" s="17"/>
      <c r="HE52" s="17">
        <v>1</v>
      </c>
      <c r="HF52" s="17"/>
      <c r="HG52" s="17">
        <v>1</v>
      </c>
      <c r="HH52" s="17">
        <v>1</v>
      </c>
      <c r="HI52" s="17">
        <v>1</v>
      </c>
      <c r="HJ52" s="17">
        <v>1</v>
      </c>
      <c r="HK52" s="17"/>
      <c r="HL52" s="17">
        <v>1</v>
      </c>
      <c r="HM52" s="17"/>
      <c r="HN52" s="17"/>
      <c r="HO52" s="17"/>
      <c r="HP52" s="17">
        <v>1</v>
      </c>
      <c r="HQ52" s="17"/>
      <c r="HR52" s="17"/>
      <c r="HS52" s="17"/>
      <c r="HT52" s="17"/>
      <c r="HU52" s="17">
        <v>1</v>
      </c>
      <c r="HV52" s="17">
        <v>1</v>
      </c>
      <c r="HW52" s="17"/>
      <c r="HX52" s="17"/>
      <c r="HY52" s="17"/>
      <c r="HZ52" s="17">
        <v>1</v>
      </c>
      <c r="IA52" s="17"/>
      <c r="IB52" s="17"/>
      <c r="IC52" s="17"/>
      <c r="ID52" s="17"/>
      <c r="IE52" s="17"/>
      <c r="IF52" s="17">
        <v>1</v>
      </c>
      <c r="IG52" s="17"/>
      <c r="IH52" s="17"/>
      <c r="II52" s="17"/>
      <c r="IJ52" s="17"/>
      <c r="IK52" s="17">
        <v>2</v>
      </c>
      <c r="IL52" s="17"/>
      <c r="IM52" s="17"/>
      <c r="IN52" s="17"/>
      <c r="IO52" s="17"/>
      <c r="IP52" s="17"/>
      <c r="IQ52" s="17">
        <v>1</v>
      </c>
      <c r="IR52" s="17"/>
      <c r="IS52" s="17"/>
      <c r="IT52" s="17"/>
      <c r="IU52" s="17"/>
      <c r="IV52" s="17"/>
      <c r="IW52" s="17"/>
      <c r="IX52" s="17"/>
      <c r="IY52" s="17"/>
      <c r="IZ52" s="17">
        <v>1</v>
      </c>
      <c r="JA52" s="17"/>
      <c r="JB52" s="17">
        <v>1</v>
      </c>
      <c r="JC52" s="17"/>
      <c r="JD52" s="17"/>
      <c r="JE52" s="17">
        <v>2</v>
      </c>
      <c r="JF52" s="17"/>
      <c r="JG52" s="17"/>
      <c r="JH52" s="17"/>
      <c r="JI52" s="17"/>
      <c r="JJ52" s="17"/>
      <c r="JK52" s="17">
        <v>1</v>
      </c>
      <c r="JL52" s="17"/>
      <c r="JM52" s="17"/>
      <c r="JN52" s="17">
        <v>1</v>
      </c>
      <c r="JO52" s="17"/>
      <c r="JP52" s="17"/>
      <c r="JQ52" s="17">
        <v>2</v>
      </c>
      <c r="JR52" s="17">
        <v>2</v>
      </c>
      <c r="JS52" s="17"/>
      <c r="JT52" s="17"/>
      <c r="JU52" s="17"/>
      <c r="JV52" s="17">
        <v>1</v>
      </c>
      <c r="JW52" s="17"/>
      <c r="JX52" s="17">
        <v>1</v>
      </c>
      <c r="JY52" s="17">
        <v>1</v>
      </c>
      <c r="JZ52" s="17">
        <v>2</v>
      </c>
      <c r="KA52" s="17">
        <v>1</v>
      </c>
      <c r="KB52" s="17">
        <v>1</v>
      </c>
      <c r="KC52" s="17">
        <v>2</v>
      </c>
      <c r="KD52" s="17">
        <v>2</v>
      </c>
      <c r="KE52" s="17">
        <v>1</v>
      </c>
      <c r="KF52" s="17">
        <v>1</v>
      </c>
      <c r="KG52" s="17"/>
      <c r="KH52" s="17">
        <v>2</v>
      </c>
      <c r="KI52" s="17"/>
      <c r="KJ52" s="17">
        <v>2</v>
      </c>
      <c r="KK52" s="17">
        <v>1</v>
      </c>
      <c r="KL52" s="17">
        <v>2</v>
      </c>
      <c r="KM52" s="17">
        <v>2</v>
      </c>
      <c r="KN52" s="17">
        <v>1</v>
      </c>
      <c r="KO52" s="17"/>
      <c r="KP52" s="17">
        <v>1</v>
      </c>
      <c r="KQ52" s="17">
        <v>1</v>
      </c>
      <c r="KR52" s="17"/>
      <c r="KS52" s="17"/>
      <c r="KT52" s="17">
        <v>1</v>
      </c>
      <c r="KU52" s="17"/>
      <c r="KV52" s="17"/>
      <c r="KW52" s="17">
        <v>1</v>
      </c>
      <c r="KX52" s="17"/>
      <c r="KY52" s="17"/>
      <c r="KZ52" s="17">
        <v>1</v>
      </c>
      <c r="LA52" s="17">
        <v>1</v>
      </c>
      <c r="LB52" s="17"/>
      <c r="LC52" s="17">
        <v>1</v>
      </c>
      <c r="LD52" s="17"/>
      <c r="LE52" s="17"/>
      <c r="LF52" s="17"/>
      <c r="LG52" s="17">
        <v>1</v>
      </c>
      <c r="LH52" s="17">
        <v>1</v>
      </c>
      <c r="LI52" s="17">
        <v>1</v>
      </c>
      <c r="LJ52" s="17">
        <v>1</v>
      </c>
      <c r="LK52" s="17">
        <v>1</v>
      </c>
      <c r="LL52" s="17"/>
      <c r="LM52" s="17"/>
      <c r="LN52" s="17"/>
      <c r="LO52" s="17"/>
      <c r="LP52" s="17">
        <v>1</v>
      </c>
      <c r="LQ52" s="17">
        <v>1</v>
      </c>
      <c r="LR52" s="17"/>
      <c r="LS52" s="17">
        <v>1</v>
      </c>
      <c r="LT52" s="17"/>
      <c r="LU52" s="17"/>
      <c r="LV52" s="17"/>
      <c r="LW52" s="17">
        <v>1</v>
      </c>
      <c r="LX52" s="17">
        <v>1</v>
      </c>
      <c r="LY52" s="17">
        <v>1</v>
      </c>
      <c r="LZ52" s="17"/>
      <c r="MA52" s="17">
        <v>1</v>
      </c>
      <c r="MB52" s="17">
        <v>1</v>
      </c>
      <c r="MC52" s="17"/>
      <c r="MD52" s="17">
        <v>1</v>
      </c>
      <c r="ME52" s="17">
        <v>1</v>
      </c>
      <c r="MF52" s="17"/>
      <c r="MG52" s="17"/>
      <c r="MH52" s="17">
        <v>1</v>
      </c>
      <c r="MI52" s="17"/>
      <c r="MJ52" s="17"/>
      <c r="MK52" s="17">
        <v>1</v>
      </c>
      <c r="ML52" s="17">
        <v>1</v>
      </c>
      <c r="MM52" s="17"/>
      <c r="MN52" s="17">
        <v>1</v>
      </c>
      <c r="MO52" s="17"/>
      <c r="MP52" s="17">
        <v>1</v>
      </c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>
        <v>2</v>
      </c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>
        <v>1</v>
      </c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>
        <v>2</v>
      </c>
      <c r="OS52" s="17"/>
      <c r="OT52" s="17">
        <v>2</v>
      </c>
      <c r="OU52" s="17"/>
      <c r="OV52" s="17"/>
      <c r="OW52" s="17"/>
      <c r="OX52" s="17"/>
      <c r="OY52" s="17"/>
      <c r="OZ52" s="17"/>
      <c r="PA52" s="17">
        <v>1</v>
      </c>
      <c r="PB52" s="17"/>
      <c r="PC52" s="17"/>
      <c r="PD52" s="17"/>
      <c r="PE52" s="17"/>
      <c r="PF52" s="17">
        <v>2</v>
      </c>
      <c r="PG52" s="17">
        <v>1</v>
      </c>
      <c r="PH52" s="17"/>
      <c r="PI52" s="17">
        <v>2</v>
      </c>
      <c r="PJ52" s="17"/>
      <c r="PK52" s="17">
        <v>1</v>
      </c>
      <c r="PL52" s="17"/>
      <c r="PM52" s="17"/>
      <c r="PN52" s="17">
        <v>2</v>
      </c>
      <c r="PO52" s="17"/>
      <c r="PP52" s="17">
        <v>1</v>
      </c>
      <c r="PQ52" s="17">
        <v>2</v>
      </c>
      <c r="PR52" s="17"/>
      <c r="PS52" s="17"/>
      <c r="PT52" s="17">
        <v>1</v>
      </c>
      <c r="PU52" s="17"/>
      <c r="PV52" s="17"/>
      <c r="PW52" s="17" t="s">
        <v>506</v>
      </c>
      <c r="PX52" s="17" t="s">
        <v>506</v>
      </c>
      <c r="PY52" s="17" t="s">
        <v>506</v>
      </c>
      <c r="PZ52" s="17" t="s">
        <v>506</v>
      </c>
      <c r="QA52" s="17" t="s">
        <v>506</v>
      </c>
      <c r="QB52" s="17" t="s">
        <v>506</v>
      </c>
      <c r="QC52" s="17" t="s">
        <v>507</v>
      </c>
      <c r="QD52" s="17" t="s">
        <v>507</v>
      </c>
      <c r="QE52" s="17" t="s">
        <v>507</v>
      </c>
      <c r="QF52" s="17" t="s">
        <v>506</v>
      </c>
      <c r="QG52" s="17" t="s">
        <v>506</v>
      </c>
      <c r="QH52" s="17" t="s">
        <v>508</v>
      </c>
      <c r="QI52" s="17">
        <v>1</v>
      </c>
      <c r="QJ52" s="17">
        <v>0</v>
      </c>
      <c r="QK52" s="17">
        <v>0</v>
      </c>
      <c r="QL52" s="17">
        <v>1</v>
      </c>
      <c r="QM52" s="17">
        <v>1</v>
      </c>
      <c r="QN52" s="17">
        <v>1</v>
      </c>
      <c r="QO52" s="17">
        <v>1</v>
      </c>
      <c r="QP52" s="17">
        <v>1</v>
      </c>
      <c r="QQ52" s="17">
        <v>1</v>
      </c>
      <c r="QR52" s="17">
        <v>1</v>
      </c>
      <c r="QS52" s="17">
        <v>1</v>
      </c>
      <c r="QT52" s="17">
        <v>0</v>
      </c>
      <c r="QU52" s="17">
        <v>1</v>
      </c>
      <c r="QV52" s="17">
        <v>1</v>
      </c>
      <c r="QW52" s="17">
        <v>0</v>
      </c>
      <c r="QX52" s="17">
        <v>0</v>
      </c>
      <c r="QY52" s="17">
        <v>0</v>
      </c>
      <c r="QZ52" s="17">
        <v>1</v>
      </c>
      <c r="RA52" s="17">
        <v>1</v>
      </c>
      <c r="RB52" s="17">
        <v>1</v>
      </c>
      <c r="RC52" s="17">
        <v>1</v>
      </c>
      <c r="RD52" s="17">
        <v>1</v>
      </c>
      <c r="RE52" s="17">
        <v>1</v>
      </c>
      <c r="RF52" s="17">
        <v>1</v>
      </c>
      <c r="RG52" s="17">
        <v>1</v>
      </c>
      <c r="RH52" s="17">
        <v>1</v>
      </c>
      <c r="RI52" s="17">
        <v>0</v>
      </c>
      <c r="RJ52" s="17">
        <v>0</v>
      </c>
      <c r="RK52" s="17">
        <v>1</v>
      </c>
      <c r="RL52" s="17">
        <v>1</v>
      </c>
      <c r="RM52" s="17">
        <v>1</v>
      </c>
      <c r="RN52" s="17">
        <v>1</v>
      </c>
      <c r="RO52" s="17">
        <v>0</v>
      </c>
      <c r="RP52" s="17">
        <v>0</v>
      </c>
      <c r="RQ52" s="17">
        <v>1</v>
      </c>
      <c r="RR52" s="17">
        <v>1</v>
      </c>
      <c r="RS52" s="17">
        <v>0</v>
      </c>
      <c r="RT52" s="17">
        <v>1</v>
      </c>
      <c r="RU52" s="17">
        <v>1</v>
      </c>
      <c r="RV52" s="17">
        <v>0</v>
      </c>
      <c r="RW52" s="17">
        <v>1</v>
      </c>
      <c r="RX52" s="17">
        <v>1</v>
      </c>
      <c r="RY52" s="17">
        <v>1</v>
      </c>
      <c r="RZ52" s="17">
        <v>0</v>
      </c>
      <c r="SA52" s="17">
        <v>1</v>
      </c>
      <c r="SB52" s="17">
        <v>0</v>
      </c>
      <c r="SC52" s="17">
        <v>0</v>
      </c>
      <c r="SD52" s="17">
        <v>0</v>
      </c>
      <c r="SE52" s="17">
        <v>1</v>
      </c>
      <c r="SF52" s="17">
        <v>0</v>
      </c>
      <c r="SG52" s="17">
        <v>1</v>
      </c>
      <c r="SH52" s="17">
        <v>1</v>
      </c>
      <c r="SI52" s="17">
        <v>10053</v>
      </c>
      <c r="SJ52" s="19">
        <f t="shared" si="3"/>
        <v>119</v>
      </c>
      <c r="SK52" s="19">
        <f t="shared" si="4"/>
        <v>166</v>
      </c>
      <c r="SL52" s="19">
        <f t="shared" si="5"/>
        <v>47</v>
      </c>
      <c r="SM52" s="9">
        <v>10053</v>
      </c>
      <c r="SN52" s="9" t="s">
        <v>509</v>
      </c>
      <c r="SO52" s="10">
        <v>1</v>
      </c>
      <c r="SP52" s="9">
        <v>1</v>
      </c>
      <c r="SQ52" s="11" t="s">
        <v>517</v>
      </c>
      <c r="SR52" s="9">
        <v>16</v>
      </c>
      <c r="SS52" s="28">
        <v>58</v>
      </c>
      <c r="ST52" s="28">
        <v>16</v>
      </c>
      <c r="SU52" s="28">
        <v>166</v>
      </c>
      <c r="SV52" s="28">
        <v>34</v>
      </c>
      <c r="SW52" s="28">
        <v>47</v>
      </c>
      <c r="SX52" s="28">
        <v>54</v>
      </c>
      <c r="SY52" s="29">
        <v>46</v>
      </c>
      <c r="SZ52" s="30">
        <v>58</v>
      </c>
      <c r="TA52" s="31">
        <v>16</v>
      </c>
      <c r="TB52" s="31">
        <v>18</v>
      </c>
    </row>
    <row r="53" spans="1:522" ht="15.75" customHeight="1" x14ac:dyDescent="0.2">
      <c r="A53" s="17">
        <v>10054</v>
      </c>
      <c r="B53" s="17" t="s">
        <v>501</v>
      </c>
      <c r="C53" s="17" t="s">
        <v>502</v>
      </c>
      <c r="D53" s="17" t="s">
        <v>512</v>
      </c>
      <c r="E53" s="17" t="s">
        <v>504</v>
      </c>
      <c r="F53" s="18">
        <v>38057</v>
      </c>
      <c r="G53" s="18">
        <v>38548</v>
      </c>
      <c r="H53" s="14">
        <f t="shared" si="2"/>
        <v>16</v>
      </c>
      <c r="I53" s="17" t="s">
        <v>505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/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/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/>
      <c r="AP53" s="17" t="s">
        <v>508</v>
      </c>
      <c r="AQ53" s="17">
        <v>1</v>
      </c>
      <c r="AR53" s="17">
        <v>1</v>
      </c>
      <c r="AS53" s="17">
        <v>1</v>
      </c>
      <c r="AT53" s="17">
        <v>1</v>
      </c>
      <c r="AU53" s="17">
        <v>2</v>
      </c>
      <c r="AV53" s="17">
        <v>2</v>
      </c>
      <c r="AW53" s="17">
        <v>1</v>
      </c>
      <c r="AX53" s="17">
        <v>2</v>
      </c>
      <c r="AY53" s="17">
        <v>1</v>
      </c>
      <c r="AZ53" s="17">
        <v>2</v>
      </c>
      <c r="BA53" s="17">
        <v>2</v>
      </c>
      <c r="BB53" s="17">
        <v>2</v>
      </c>
      <c r="BC53" s="17">
        <v>1</v>
      </c>
      <c r="BD53" s="17">
        <v>2</v>
      </c>
      <c r="BE53" s="17">
        <v>1</v>
      </c>
      <c r="BF53" s="17">
        <v>2</v>
      </c>
      <c r="BG53" s="17">
        <v>1</v>
      </c>
      <c r="BH53" s="17">
        <v>2</v>
      </c>
      <c r="BI53" s="17">
        <v>1</v>
      </c>
      <c r="BJ53" s="17">
        <v>2</v>
      </c>
      <c r="BK53" s="17">
        <v>1</v>
      </c>
      <c r="BL53" s="17">
        <v>1</v>
      </c>
      <c r="BM53" s="17"/>
      <c r="BN53" s="17">
        <v>2</v>
      </c>
      <c r="BO53" s="17"/>
      <c r="BP53" s="17">
        <v>2</v>
      </c>
      <c r="BQ53" s="17"/>
      <c r="BR53" s="17">
        <v>1</v>
      </c>
      <c r="BS53" s="17">
        <v>1</v>
      </c>
      <c r="BT53" s="17"/>
      <c r="BU53" s="17"/>
      <c r="BV53" s="17">
        <v>1</v>
      </c>
      <c r="BW53" s="17">
        <v>1</v>
      </c>
      <c r="BX53" s="17">
        <v>1</v>
      </c>
      <c r="BY53" s="17">
        <v>1</v>
      </c>
      <c r="BZ53" s="17">
        <v>1</v>
      </c>
      <c r="CA53" s="17">
        <v>1</v>
      </c>
      <c r="CB53" s="17"/>
      <c r="CC53" s="17"/>
      <c r="CD53" s="17">
        <v>1</v>
      </c>
      <c r="CE53" s="17"/>
      <c r="CF53" s="17">
        <v>2</v>
      </c>
      <c r="CG53" s="17">
        <v>1</v>
      </c>
      <c r="CH53" s="17">
        <v>1</v>
      </c>
      <c r="CI53" s="17">
        <v>2</v>
      </c>
      <c r="CJ53" s="17">
        <v>1</v>
      </c>
      <c r="CK53" s="17"/>
      <c r="CL53" s="17">
        <v>1</v>
      </c>
      <c r="CM53" s="17">
        <v>1</v>
      </c>
      <c r="CN53" s="17">
        <v>1</v>
      </c>
      <c r="CO53" s="17">
        <v>1</v>
      </c>
      <c r="CP53" s="17">
        <v>1</v>
      </c>
      <c r="CQ53" s="17">
        <v>1</v>
      </c>
      <c r="CR53" s="17">
        <v>1</v>
      </c>
      <c r="CS53" s="17">
        <v>1</v>
      </c>
      <c r="CT53" s="17">
        <v>1</v>
      </c>
      <c r="CU53" s="17">
        <v>1</v>
      </c>
      <c r="CV53" s="17"/>
      <c r="CW53" s="17">
        <v>2</v>
      </c>
      <c r="CX53" s="17">
        <v>2</v>
      </c>
      <c r="CY53" s="17">
        <v>2</v>
      </c>
      <c r="CZ53" s="17">
        <v>2</v>
      </c>
      <c r="DA53" s="17">
        <v>1</v>
      </c>
      <c r="DB53" s="17"/>
      <c r="DC53" s="17">
        <v>1</v>
      </c>
      <c r="DD53" s="17">
        <v>2</v>
      </c>
      <c r="DE53" s="17">
        <v>2</v>
      </c>
      <c r="DF53" s="17">
        <v>1</v>
      </c>
      <c r="DG53" s="17"/>
      <c r="DH53" s="17"/>
      <c r="DI53" s="17"/>
      <c r="DJ53" s="17">
        <v>1</v>
      </c>
      <c r="DK53" s="17">
        <v>1</v>
      </c>
      <c r="DL53" s="17">
        <v>1</v>
      </c>
      <c r="DM53" s="17">
        <v>2</v>
      </c>
      <c r="DN53" s="17">
        <v>1</v>
      </c>
      <c r="DO53" s="17"/>
      <c r="DP53" s="17">
        <v>1</v>
      </c>
      <c r="DQ53" s="17">
        <v>1</v>
      </c>
      <c r="DR53" s="17">
        <v>2</v>
      </c>
      <c r="DS53" s="17">
        <v>1</v>
      </c>
      <c r="DT53" s="17">
        <v>1</v>
      </c>
      <c r="DU53" s="17">
        <v>1</v>
      </c>
      <c r="DV53" s="17">
        <v>1</v>
      </c>
      <c r="DW53" s="17">
        <v>1</v>
      </c>
      <c r="DX53" s="17"/>
      <c r="DY53" s="17">
        <v>2</v>
      </c>
      <c r="DZ53" s="17">
        <v>1</v>
      </c>
      <c r="EA53" s="17">
        <v>1</v>
      </c>
      <c r="EB53" s="17">
        <v>1</v>
      </c>
      <c r="EC53" s="17">
        <v>1</v>
      </c>
      <c r="ED53" s="17"/>
      <c r="EE53" s="17">
        <v>1</v>
      </c>
      <c r="EF53" s="17">
        <v>1</v>
      </c>
      <c r="EG53" s="17">
        <v>2</v>
      </c>
      <c r="EH53" s="17"/>
      <c r="EI53" s="17">
        <v>1</v>
      </c>
      <c r="EJ53" s="17">
        <v>1</v>
      </c>
      <c r="EK53" s="17">
        <v>1</v>
      </c>
      <c r="EL53" s="17">
        <v>1</v>
      </c>
      <c r="EM53" s="17">
        <v>1</v>
      </c>
      <c r="EN53" s="17"/>
      <c r="EO53" s="17">
        <v>2</v>
      </c>
      <c r="EP53" s="17">
        <v>1</v>
      </c>
      <c r="EQ53" s="17">
        <v>1</v>
      </c>
      <c r="ER53" s="17"/>
      <c r="ES53" s="17">
        <v>1</v>
      </c>
      <c r="ET53" s="17">
        <v>1</v>
      </c>
      <c r="EU53" s="17">
        <v>1</v>
      </c>
      <c r="EV53" s="17">
        <v>2</v>
      </c>
      <c r="EW53" s="17">
        <v>1</v>
      </c>
      <c r="EX53" s="17">
        <v>2</v>
      </c>
      <c r="EY53" s="17">
        <v>1</v>
      </c>
      <c r="EZ53" s="17">
        <v>1</v>
      </c>
      <c r="FA53" s="17">
        <v>1</v>
      </c>
      <c r="FB53" s="17">
        <v>1</v>
      </c>
      <c r="FC53" s="17">
        <v>1</v>
      </c>
      <c r="FD53" s="17">
        <v>1</v>
      </c>
      <c r="FE53" s="17">
        <v>1</v>
      </c>
      <c r="FF53" s="17">
        <v>1</v>
      </c>
      <c r="FG53" s="17">
        <v>1</v>
      </c>
      <c r="FH53" s="17">
        <v>1</v>
      </c>
      <c r="FI53" s="17">
        <v>1</v>
      </c>
      <c r="FJ53" s="17">
        <v>1</v>
      </c>
      <c r="FK53" s="17">
        <v>1</v>
      </c>
      <c r="FL53" s="17">
        <v>1</v>
      </c>
      <c r="FM53" s="17">
        <v>1</v>
      </c>
      <c r="FN53" s="17">
        <v>1</v>
      </c>
      <c r="FO53" s="17">
        <v>1</v>
      </c>
      <c r="FP53" s="17">
        <v>1</v>
      </c>
      <c r="FQ53" s="17">
        <v>2</v>
      </c>
      <c r="FR53" s="17">
        <v>1</v>
      </c>
      <c r="FS53" s="17">
        <v>1</v>
      </c>
      <c r="FT53" s="17">
        <v>1</v>
      </c>
      <c r="FU53" s="17">
        <v>2</v>
      </c>
      <c r="FV53" s="17">
        <v>2</v>
      </c>
      <c r="FW53" s="17">
        <v>1</v>
      </c>
      <c r="FX53" s="17">
        <v>2</v>
      </c>
      <c r="FY53" s="17">
        <v>1</v>
      </c>
      <c r="FZ53" s="17">
        <v>1</v>
      </c>
      <c r="GA53" s="17">
        <v>1</v>
      </c>
      <c r="GB53" s="17">
        <v>1</v>
      </c>
      <c r="GC53" s="17">
        <v>1</v>
      </c>
      <c r="GD53" s="17">
        <v>1</v>
      </c>
      <c r="GE53" s="17">
        <v>1</v>
      </c>
      <c r="GF53" s="17">
        <v>1</v>
      </c>
      <c r="GG53" s="17">
        <v>1</v>
      </c>
      <c r="GH53" s="17">
        <v>1</v>
      </c>
      <c r="GI53" s="17">
        <v>2</v>
      </c>
      <c r="GJ53" s="17">
        <v>1</v>
      </c>
      <c r="GK53" s="17">
        <v>1</v>
      </c>
      <c r="GL53" s="17">
        <v>1</v>
      </c>
      <c r="GM53" s="17">
        <v>1</v>
      </c>
      <c r="GN53" s="17">
        <v>1</v>
      </c>
      <c r="GO53" s="17">
        <v>1</v>
      </c>
      <c r="GP53" s="17">
        <v>1</v>
      </c>
      <c r="GQ53" s="17">
        <v>2</v>
      </c>
      <c r="GR53" s="17">
        <v>1</v>
      </c>
      <c r="GS53" s="17">
        <v>1</v>
      </c>
      <c r="GT53" s="17">
        <v>1</v>
      </c>
      <c r="GU53" s="17">
        <v>1</v>
      </c>
      <c r="GV53" s="17">
        <v>1</v>
      </c>
      <c r="GW53" s="17">
        <v>1</v>
      </c>
      <c r="GX53" s="17">
        <v>1</v>
      </c>
      <c r="GY53" s="17">
        <v>1</v>
      </c>
      <c r="GZ53" s="17">
        <v>1</v>
      </c>
      <c r="HA53" s="17">
        <v>1</v>
      </c>
      <c r="HB53" s="17">
        <v>1</v>
      </c>
      <c r="HC53" s="17">
        <v>1</v>
      </c>
      <c r="HD53" s="17">
        <v>1</v>
      </c>
      <c r="HE53" s="17">
        <v>1</v>
      </c>
      <c r="HF53" s="17">
        <v>1</v>
      </c>
      <c r="HG53" s="17">
        <v>1</v>
      </c>
      <c r="HH53" s="17">
        <v>1</v>
      </c>
      <c r="HI53" s="17">
        <v>1</v>
      </c>
      <c r="HJ53" s="17">
        <v>1</v>
      </c>
      <c r="HK53" s="17">
        <v>1</v>
      </c>
      <c r="HL53" s="17">
        <v>2</v>
      </c>
      <c r="HM53" s="17">
        <v>1</v>
      </c>
      <c r="HN53" s="17">
        <v>1</v>
      </c>
      <c r="HO53" s="17">
        <v>1</v>
      </c>
      <c r="HP53" s="17">
        <v>1</v>
      </c>
      <c r="HQ53" s="17">
        <v>1</v>
      </c>
      <c r="HR53" s="17">
        <v>1</v>
      </c>
      <c r="HS53" s="17">
        <v>1</v>
      </c>
      <c r="HT53" s="17">
        <v>1</v>
      </c>
      <c r="HU53" s="17">
        <v>1</v>
      </c>
      <c r="HV53" s="17">
        <v>1</v>
      </c>
      <c r="HW53" s="17">
        <v>1</v>
      </c>
      <c r="HX53" s="17">
        <v>1</v>
      </c>
      <c r="HY53" s="17">
        <v>1</v>
      </c>
      <c r="HZ53" s="17">
        <v>1</v>
      </c>
      <c r="IA53" s="17">
        <v>1</v>
      </c>
      <c r="IB53" s="17">
        <v>1</v>
      </c>
      <c r="IC53" s="17">
        <v>1</v>
      </c>
      <c r="ID53" s="17">
        <v>1</v>
      </c>
      <c r="IE53" s="17">
        <v>1</v>
      </c>
      <c r="IF53" s="17">
        <v>1</v>
      </c>
      <c r="IG53" s="17">
        <v>1</v>
      </c>
      <c r="IH53" s="17">
        <v>1</v>
      </c>
      <c r="II53" s="17">
        <v>1</v>
      </c>
      <c r="IJ53" s="17">
        <v>2</v>
      </c>
      <c r="IK53" s="17">
        <v>2</v>
      </c>
      <c r="IL53" s="17">
        <v>1</v>
      </c>
      <c r="IM53" s="17">
        <v>1</v>
      </c>
      <c r="IN53" s="17">
        <v>1</v>
      </c>
      <c r="IO53" s="17">
        <v>1</v>
      </c>
      <c r="IP53" s="17">
        <v>1</v>
      </c>
      <c r="IQ53" s="17">
        <v>1</v>
      </c>
      <c r="IR53" s="17">
        <v>1</v>
      </c>
      <c r="IS53" s="17">
        <v>1</v>
      </c>
      <c r="IT53" s="17">
        <v>1</v>
      </c>
      <c r="IU53" s="17">
        <v>1</v>
      </c>
      <c r="IV53" s="17">
        <v>1</v>
      </c>
      <c r="IW53" s="17">
        <v>1</v>
      </c>
      <c r="IX53" s="17">
        <v>1</v>
      </c>
      <c r="IY53" s="17">
        <v>1</v>
      </c>
      <c r="IZ53" s="17">
        <v>1</v>
      </c>
      <c r="JA53" s="17">
        <v>2</v>
      </c>
      <c r="JB53" s="17">
        <v>1</v>
      </c>
      <c r="JC53" s="17">
        <v>1</v>
      </c>
      <c r="JD53" s="17">
        <v>1</v>
      </c>
      <c r="JE53" s="17">
        <v>2</v>
      </c>
      <c r="JF53" s="17">
        <v>1</v>
      </c>
      <c r="JG53" s="17">
        <v>1</v>
      </c>
      <c r="JH53" s="17">
        <v>1</v>
      </c>
      <c r="JI53" s="17">
        <v>1</v>
      </c>
      <c r="JJ53" s="17">
        <v>1</v>
      </c>
      <c r="JK53" s="17">
        <v>2</v>
      </c>
      <c r="JL53" s="17">
        <v>1</v>
      </c>
      <c r="JM53" s="17">
        <v>1</v>
      </c>
      <c r="JN53" s="17">
        <v>1</v>
      </c>
      <c r="JO53" s="17">
        <v>1</v>
      </c>
      <c r="JP53" s="17">
        <v>1</v>
      </c>
      <c r="JQ53" s="17">
        <v>2</v>
      </c>
      <c r="JR53" s="17">
        <v>1</v>
      </c>
      <c r="JS53" s="17">
        <v>1</v>
      </c>
      <c r="JT53" s="17">
        <v>1</v>
      </c>
      <c r="JU53" s="17">
        <v>1</v>
      </c>
      <c r="JV53" s="17">
        <v>1</v>
      </c>
      <c r="JW53" s="17">
        <v>1</v>
      </c>
      <c r="JX53" s="17">
        <v>2</v>
      </c>
      <c r="JY53" s="17">
        <v>1</v>
      </c>
      <c r="JZ53" s="17">
        <v>2</v>
      </c>
      <c r="KA53" s="17">
        <v>1</v>
      </c>
      <c r="KB53" s="17">
        <v>1</v>
      </c>
      <c r="KC53" s="17">
        <v>2</v>
      </c>
      <c r="KD53" s="17">
        <v>2</v>
      </c>
      <c r="KE53" s="17">
        <v>1</v>
      </c>
      <c r="KF53" s="17">
        <v>2</v>
      </c>
      <c r="KG53" s="17">
        <v>2</v>
      </c>
      <c r="KH53" s="17">
        <v>2</v>
      </c>
      <c r="KI53" s="17">
        <v>1</v>
      </c>
      <c r="KJ53" s="17">
        <v>2</v>
      </c>
      <c r="KK53" s="17">
        <v>1</v>
      </c>
      <c r="KL53" s="17">
        <v>2</v>
      </c>
      <c r="KM53" s="17">
        <v>1</v>
      </c>
      <c r="KN53" s="17">
        <v>1</v>
      </c>
      <c r="KO53" s="17">
        <v>1</v>
      </c>
      <c r="KP53" s="17">
        <v>2</v>
      </c>
      <c r="KQ53" s="17">
        <v>1</v>
      </c>
      <c r="KR53" s="17">
        <v>1</v>
      </c>
      <c r="KS53" s="17">
        <v>1</v>
      </c>
      <c r="KT53" s="17">
        <v>1</v>
      </c>
      <c r="KU53" s="17">
        <v>1</v>
      </c>
      <c r="KV53" s="17">
        <v>1</v>
      </c>
      <c r="KW53" s="17">
        <v>1</v>
      </c>
      <c r="KX53" s="17">
        <v>1</v>
      </c>
      <c r="KY53" s="17">
        <v>2</v>
      </c>
      <c r="KZ53" s="17">
        <v>1</v>
      </c>
      <c r="LA53" s="17">
        <v>1</v>
      </c>
      <c r="LB53" s="17">
        <v>1</v>
      </c>
      <c r="LC53" s="17">
        <v>1</v>
      </c>
      <c r="LD53" s="17">
        <v>1</v>
      </c>
      <c r="LE53" s="17">
        <v>1</v>
      </c>
      <c r="LF53" s="17">
        <v>1</v>
      </c>
      <c r="LG53" s="17">
        <v>1</v>
      </c>
      <c r="LH53" s="17">
        <v>1</v>
      </c>
      <c r="LI53" s="17">
        <v>1</v>
      </c>
      <c r="LJ53" s="17">
        <v>1</v>
      </c>
      <c r="LK53" s="17">
        <v>1</v>
      </c>
      <c r="LL53" s="17">
        <v>1</v>
      </c>
      <c r="LM53" s="17">
        <v>1</v>
      </c>
      <c r="LN53" s="17">
        <v>1</v>
      </c>
      <c r="LO53" s="17">
        <v>1</v>
      </c>
      <c r="LP53" s="17">
        <v>1</v>
      </c>
      <c r="LQ53" s="17">
        <v>1</v>
      </c>
      <c r="LR53" s="17">
        <v>1</v>
      </c>
      <c r="LS53" s="17">
        <v>1</v>
      </c>
      <c r="LT53" s="17">
        <v>1</v>
      </c>
      <c r="LU53" s="17">
        <v>1</v>
      </c>
      <c r="LV53" s="17">
        <v>1</v>
      </c>
      <c r="LW53" s="17">
        <v>1</v>
      </c>
      <c r="LX53" s="17">
        <v>1</v>
      </c>
      <c r="LY53" s="17">
        <v>1</v>
      </c>
      <c r="LZ53" s="17">
        <v>1</v>
      </c>
      <c r="MA53" s="17">
        <v>1</v>
      </c>
      <c r="MB53" s="17">
        <v>1</v>
      </c>
      <c r="MC53" s="17"/>
      <c r="MD53" s="17">
        <v>1</v>
      </c>
      <c r="ME53" s="17">
        <v>1</v>
      </c>
      <c r="MF53" s="17">
        <v>1</v>
      </c>
      <c r="MG53" s="17">
        <v>1</v>
      </c>
      <c r="MH53" s="17">
        <v>1</v>
      </c>
      <c r="MI53" s="17">
        <v>1</v>
      </c>
      <c r="MJ53" s="17">
        <v>1</v>
      </c>
      <c r="MK53" s="17">
        <v>1</v>
      </c>
      <c r="ML53" s="17">
        <v>1</v>
      </c>
      <c r="MM53" s="17">
        <v>1</v>
      </c>
      <c r="MN53" s="17">
        <v>1</v>
      </c>
      <c r="MO53" s="17">
        <v>1</v>
      </c>
      <c r="MP53" s="17">
        <v>1</v>
      </c>
      <c r="MQ53" s="17">
        <v>1</v>
      </c>
      <c r="MR53" s="17">
        <v>1</v>
      </c>
      <c r="MS53" s="17">
        <v>1</v>
      </c>
      <c r="MT53" s="17">
        <v>1</v>
      </c>
      <c r="MU53" s="17">
        <v>1</v>
      </c>
      <c r="MV53" s="17">
        <v>1</v>
      </c>
      <c r="MW53" s="17">
        <v>1</v>
      </c>
      <c r="MX53" s="17">
        <v>1</v>
      </c>
      <c r="MY53" s="17">
        <v>1</v>
      </c>
      <c r="MZ53" s="17">
        <v>1</v>
      </c>
      <c r="NA53" s="17">
        <v>1</v>
      </c>
      <c r="NB53" s="17">
        <v>2</v>
      </c>
      <c r="NC53" s="17">
        <v>1</v>
      </c>
      <c r="ND53" s="17">
        <v>1</v>
      </c>
      <c r="NE53" s="17">
        <v>2</v>
      </c>
      <c r="NF53" s="17">
        <v>1</v>
      </c>
      <c r="NG53" s="17">
        <v>1</v>
      </c>
      <c r="NH53" s="17">
        <v>1</v>
      </c>
      <c r="NI53" s="17">
        <v>1</v>
      </c>
      <c r="NJ53" s="17">
        <v>1</v>
      </c>
      <c r="NK53" s="17">
        <v>1</v>
      </c>
      <c r="NL53" s="17">
        <v>1</v>
      </c>
      <c r="NM53" s="17">
        <v>1</v>
      </c>
      <c r="NN53" s="17">
        <v>1</v>
      </c>
      <c r="NO53" s="17">
        <v>1</v>
      </c>
      <c r="NP53" s="17">
        <v>1</v>
      </c>
      <c r="NQ53" s="17">
        <v>1</v>
      </c>
      <c r="NR53" s="17">
        <v>1</v>
      </c>
      <c r="NS53" s="17">
        <v>1</v>
      </c>
      <c r="NT53" s="17">
        <v>1</v>
      </c>
      <c r="NU53" s="17">
        <v>1</v>
      </c>
      <c r="NV53" s="17">
        <v>1</v>
      </c>
      <c r="NW53" s="17">
        <v>1</v>
      </c>
      <c r="NX53" s="17">
        <v>1</v>
      </c>
      <c r="NY53" s="17">
        <v>1</v>
      </c>
      <c r="NZ53" s="17">
        <v>1</v>
      </c>
      <c r="OA53" s="17">
        <v>1</v>
      </c>
      <c r="OB53" s="17">
        <v>1</v>
      </c>
      <c r="OC53" s="17">
        <v>1</v>
      </c>
      <c r="OD53" s="17">
        <v>1</v>
      </c>
      <c r="OE53" s="17">
        <v>1</v>
      </c>
      <c r="OF53" s="17">
        <v>1</v>
      </c>
      <c r="OG53" s="17">
        <v>1</v>
      </c>
      <c r="OH53" s="17">
        <v>1</v>
      </c>
      <c r="OI53" s="17">
        <v>1</v>
      </c>
      <c r="OJ53" s="17">
        <v>1</v>
      </c>
      <c r="OK53" s="17">
        <v>1</v>
      </c>
      <c r="OL53" s="17">
        <v>2</v>
      </c>
      <c r="OM53" s="17">
        <v>1</v>
      </c>
      <c r="ON53" s="17">
        <v>1</v>
      </c>
      <c r="OO53" s="17">
        <v>1</v>
      </c>
      <c r="OP53" s="17">
        <v>1</v>
      </c>
      <c r="OQ53" s="17">
        <v>1</v>
      </c>
      <c r="OR53" s="17">
        <v>2</v>
      </c>
      <c r="OS53" s="17">
        <v>1</v>
      </c>
      <c r="OT53" s="17">
        <v>2</v>
      </c>
      <c r="OU53" s="17">
        <v>2</v>
      </c>
      <c r="OV53" s="17">
        <v>2</v>
      </c>
      <c r="OW53" s="17">
        <v>1</v>
      </c>
      <c r="OX53" s="17">
        <v>1</v>
      </c>
      <c r="OY53" s="17">
        <v>2</v>
      </c>
      <c r="OZ53" s="17">
        <v>1</v>
      </c>
      <c r="PA53" s="17">
        <v>1</v>
      </c>
      <c r="PB53" s="17">
        <v>1</v>
      </c>
      <c r="PC53" s="17">
        <v>1</v>
      </c>
      <c r="PD53" s="17">
        <v>1</v>
      </c>
      <c r="PE53" s="17">
        <v>1</v>
      </c>
      <c r="PF53" s="17">
        <v>2</v>
      </c>
      <c r="PG53" s="17">
        <v>2</v>
      </c>
      <c r="PH53" s="17">
        <v>1</v>
      </c>
      <c r="PI53" s="17">
        <v>1</v>
      </c>
      <c r="PJ53" s="17">
        <v>1</v>
      </c>
      <c r="PK53" s="17">
        <v>1</v>
      </c>
      <c r="PL53" s="17">
        <v>1</v>
      </c>
      <c r="PM53" s="17">
        <v>1</v>
      </c>
      <c r="PN53" s="17"/>
      <c r="PO53" s="17">
        <v>1</v>
      </c>
      <c r="PP53" s="17">
        <v>1</v>
      </c>
      <c r="PQ53" s="17">
        <v>2</v>
      </c>
      <c r="PR53" s="17">
        <v>1</v>
      </c>
      <c r="PS53" s="17">
        <v>1</v>
      </c>
      <c r="PT53" s="17">
        <v>1</v>
      </c>
      <c r="PU53" s="17">
        <v>1</v>
      </c>
      <c r="PV53" s="17">
        <v>1</v>
      </c>
      <c r="PW53" s="17" t="s">
        <v>506</v>
      </c>
      <c r="PX53" s="17"/>
      <c r="PY53" s="17" t="s">
        <v>506</v>
      </c>
      <c r="PZ53" s="17" t="s">
        <v>507</v>
      </c>
      <c r="QA53" s="17"/>
      <c r="QB53" s="17"/>
      <c r="QC53" s="17"/>
      <c r="QD53" s="17" t="s">
        <v>508</v>
      </c>
      <c r="QE53" s="17"/>
      <c r="QF53" s="17" t="s">
        <v>507</v>
      </c>
      <c r="QG53" s="17"/>
      <c r="QH53" s="17" t="s">
        <v>507</v>
      </c>
      <c r="QI53" s="17">
        <v>1</v>
      </c>
      <c r="QJ53" s="17">
        <v>1</v>
      </c>
      <c r="QK53" s="17">
        <v>1</v>
      </c>
      <c r="QL53" s="17">
        <v>1</v>
      </c>
      <c r="QM53" s="17">
        <v>1</v>
      </c>
      <c r="QN53" s="17">
        <v>1</v>
      </c>
      <c r="QO53" s="17">
        <v>1</v>
      </c>
      <c r="QP53" s="17">
        <v>1</v>
      </c>
      <c r="QQ53" s="17">
        <v>1</v>
      </c>
      <c r="QR53" s="17">
        <v>1</v>
      </c>
      <c r="QS53" s="17">
        <v>1</v>
      </c>
      <c r="QT53" s="17">
        <v>1</v>
      </c>
      <c r="QU53" s="17">
        <v>1</v>
      </c>
      <c r="QV53" s="17">
        <v>1</v>
      </c>
      <c r="QW53" s="17">
        <v>1</v>
      </c>
      <c r="QX53" s="17">
        <v>1</v>
      </c>
      <c r="QY53" s="17">
        <v>1</v>
      </c>
      <c r="QZ53" s="17">
        <v>1</v>
      </c>
      <c r="RA53" s="17">
        <v>1</v>
      </c>
      <c r="RB53" s="17">
        <v>1</v>
      </c>
      <c r="RC53" s="17">
        <v>1</v>
      </c>
      <c r="RD53" s="17">
        <v>1</v>
      </c>
      <c r="RE53" s="17">
        <v>1</v>
      </c>
      <c r="RF53" s="17">
        <v>0</v>
      </c>
      <c r="RG53" s="17">
        <v>1</v>
      </c>
      <c r="RH53" s="17">
        <v>1</v>
      </c>
      <c r="RI53" s="17">
        <v>1</v>
      </c>
      <c r="RJ53" s="17">
        <v>1</v>
      </c>
      <c r="RK53" s="17">
        <v>1</v>
      </c>
      <c r="RL53" s="17">
        <v>0</v>
      </c>
      <c r="RM53" s="17">
        <v>0</v>
      </c>
      <c r="RN53" s="17">
        <v>1</v>
      </c>
      <c r="RO53" s="17">
        <v>0</v>
      </c>
      <c r="RP53" s="17">
        <v>0</v>
      </c>
      <c r="RQ53" s="17">
        <v>1</v>
      </c>
      <c r="RR53" s="17">
        <v>0</v>
      </c>
      <c r="RS53" s="17">
        <v>1</v>
      </c>
      <c r="RT53" s="17">
        <v>1</v>
      </c>
      <c r="RU53" s="17">
        <v>1</v>
      </c>
      <c r="RV53" s="17">
        <v>0</v>
      </c>
      <c r="RW53" s="17">
        <v>1</v>
      </c>
      <c r="RX53" s="17">
        <v>1</v>
      </c>
      <c r="RY53" s="17">
        <v>1</v>
      </c>
      <c r="RZ53" s="17">
        <v>1</v>
      </c>
      <c r="SA53" s="17">
        <v>1</v>
      </c>
      <c r="SB53" s="17">
        <v>1</v>
      </c>
      <c r="SC53" s="17">
        <v>0</v>
      </c>
      <c r="SD53" s="17">
        <v>1</v>
      </c>
      <c r="SE53" s="17">
        <v>1</v>
      </c>
      <c r="SF53" s="17">
        <v>1</v>
      </c>
      <c r="SG53" s="17">
        <v>1</v>
      </c>
      <c r="SH53" s="17">
        <v>1</v>
      </c>
      <c r="SI53" s="17">
        <v>10054</v>
      </c>
      <c r="SJ53" s="19">
        <f t="shared" si="3"/>
        <v>312</v>
      </c>
      <c r="SK53" s="19">
        <f t="shared" si="4"/>
        <v>374</v>
      </c>
      <c r="SL53" s="19">
        <f t="shared" si="5"/>
        <v>62</v>
      </c>
      <c r="SM53" s="9">
        <v>10054</v>
      </c>
      <c r="SN53" s="9" t="s">
        <v>504</v>
      </c>
      <c r="SO53" s="10">
        <v>1</v>
      </c>
      <c r="SP53" s="9">
        <v>2</v>
      </c>
      <c r="SQ53" s="11" t="s">
        <v>517</v>
      </c>
      <c r="SR53" s="9">
        <v>16</v>
      </c>
      <c r="SS53" s="28">
        <v>66</v>
      </c>
      <c r="ST53" s="28">
        <v>16</v>
      </c>
      <c r="SU53" s="28">
        <v>378</v>
      </c>
      <c r="SV53" s="28">
        <v>99</v>
      </c>
      <c r="SW53" s="28">
        <v>64</v>
      </c>
      <c r="SX53" s="28">
        <v>80</v>
      </c>
      <c r="SY53" s="29">
        <v>54</v>
      </c>
      <c r="SZ53" s="30">
        <v>95</v>
      </c>
      <c r="TA53" s="31">
        <v>26</v>
      </c>
      <c r="TB53" s="31">
        <v>80</v>
      </c>
    </row>
    <row r="54" spans="1:522" ht="15.75" customHeight="1" x14ac:dyDescent="0.2">
      <c r="A54" s="17">
        <v>10055</v>
      </c>
      <c r="B54" s="17" t="s">
        <v>501</v>
      </c>
      <c r="C54" s="17" t="s">
        <v>502</v>
      </c>
      <c r="D54" s="17" t="s">
        <v>512</v>
      </c>
      <c r="E54" s="17" t="s">
        <v>509</v>
      </c>
      <c r="F54" s="18">
        <v>38058</v>
      </c>
      <c r="G54" s="18">
        <v>38523</v>
      </c>
      <c r="H54" s="14">
        <f t="shared" si="2"/>
        <v>15</v>
      </c>
      <c r="I54" s="17" t="s">
        <v>505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/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/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7">
        <v>1</v>
      </c>
      <c r="AO54" s="17" t="s">
        <v>507</v>
      </c>
      <c r="AP54" s="17" t="s">
        <v>507</v>
      </c>
      <c r="AQ54" s="17">
        <v>1</v>
      </c>
      <c r="AR54" s="17">
        <v>2</v>
      </c>
      <c r="AS54" s="17"/>
      <c r="AT54" s="17"/>
      <c r="AU54" s="17"/>
      <c r="AV54" s="17">
        <v>1</v>
      </c>
      <c r="AW54" s="17">
        <v>1</v>
      </c>
      <c r="AX54" s="17">
        <v>2</v>
      </c>
      <c r="AY54" s="17">
        <v>2</v>
      </c>
      <c r="AZ54" s="17">
        <v>2</v>
      </c>
      <c r="BA54" s="17">
        <v>1</v>
      </c>
      <c r="BB54" s="17"/>
      <c r="BC54" s="17">
        <v>1</v>
      </c>
      <c r="BD54" s="17"/>
      <c r="BE54" s="17">
        <v>1</v>
      </c>
      <c r="BF54" s="17">
        <v>1</v>
      </c>
      <c r="BG54" s="17"/>
      <c r="BH54" s="17">
        <v>1</v>
      </c>
      <c r="BI54" s="17"/>
      <c r="BJ54" s="17">
        <v>1</v>
      </c>
      <c r="BK54" s="17"/>
      <c r="BL54" s="17">
        <v>1</v>
      </c>
      <c r="BM54" s="17">
        <v>1</v>
      </c>
      <c r="BN54" s="17">
        <v>2</v>
      </c>
      <c r="BO54" s="17"/>
      <c r="BP54" s="17">
        <v>1</v>
      </c>
      <c r="BQ54" s="17">
        <v>1</v>
      </c>
      <c r="BR54" s="17">
        <v>2</v>
      </c>
      <c r="BS54" s="17"/>
      <c r="BT54" s="17"/>
      <c r="BU54" s="17"/>
      <c r="BV54" s="17">
        <v>1</v>
      </c>
      <c r="BW54" s="17">
        <v>1</v>
      </c>
      <c r="BX54" s="17"/>
      <c r="BY54" s="17"/>
      <c r="BZ54" s="17">
        <v>1</v>
      </c>
      <c r="CA54" s="17"/>
      <c r="CB54" s="17"/>
      <c r="CC54" s="17"/>
      <c r="CD54" s="17">
        <v>1</v>
      </c>
      <c r="CE54" s="17"/>
      <c r="CF54" s="17"/>
      <c r="CG54" s="17"/>
      <c r="CH54" s="17">
        <v>1</v>
      </c>
      <c r="CI54" s="17">
        <v>1</v>
      </c>
      <c r="CJ54" s="17"/>
      <c r="CK54" s="17"/>
      <c r="CL54" s="17"/>
      <c r="CM54" s="17">
        <v>1</v>
      </c>
      <c r="CN54" s="17"/>
      <c r="CO54" s="17"/>
      <c r="CP54" s="17">
        <v>2</v>
      </c>
      <c r="CQ54" s="17"/>
      <c r="CR54" s="17"/>
      <c r="CS54" s="17">
        <v>2</v>
      </c>
      <c r="CT54" s="17"/>
      <c r="CU54" s="17"/>
      <c r="CV54" s="17">
        <v>2</v>
      </c>
      <c r="CW54" s="17">
        <v>2</v>
      </c>
      <c r="CX54" s="17"/>
      <c r="CY54" s="17">
        <v>2</v>
      </c>
      <c r="CZ54" s="17">
        <v>2</v>
      </c>
      <c r="DA54" s="17">
        <v>2</v>
      </c>
      <c r="DB54" s="17"/>
      <c r="DC54" s="17">
        <v>1</v>
      </c>
      <c r="DD54" s="17"/>
      <c r="DE54" s="17">
        <v>2</v>
      </c>
      <c r="DF54" s="17">
        <v>1</v>
      </c>
      <c r="DG54" s="17"/>
      <c r="DH54" s="17">
        <v>2</v>
      </c>
      <c r="DI54" s="17">
        <v>1</v>
      </c>
      <c r="DJ54" s="17"/>
      <c r="DK54" s="17"/>
      <c r="DL54" s="17"/>
      <c r="DM54" s="17">
        <v>2</v>
      </c>
      <c r="DN54" s="17">
        <v>1</v>
      </c>
      <c r="DO54" s="17"/>
      <c r="DP54" s="17">
        <v>2</v>
      </c>
      <c r="DQ54" s="17"/>
      <c r="DR54" s="17">
        <v>1</v>
      </c>
      <c r="DS54" s="17"/>
      <c r="DT54" s="17"/>
      <c r="DU54" s="17"/>
      <c r="DV54" s="17">
        <v>1</v>
      </c>
      <c r="DW54" s="17">
        <v>2</v>
      </c>
      <c r="DX54" s="17"/>
      <c r="DY54" s="17">
        <v>1</v>
      </c>
      <c r="DZ54" s="17"/>
      <c r="EA54" s="17"/>
      <c r="EB54" s="17"/>
      <c r="EC54" s="17"/>
      <c r="ED54" s="17"/>
      <c r="EE54" s="17"/>
      <c r="EF54" s="17"/>
      <c r="EG54" s="17">
        <v>2</v>
      </c>
      <c r="EH54" s="17"/>
      <c r="EI54" s="17"/>
      <c r="EJ54" s="17"/>
      <c r="EK54" s="17"/>
      <c r="EL54" s="17"/>
      <c r="EM54" s="17">
        <v>1</v>
      </c>
      <c r="EN54" s="17"/>
      <c r="EO54" s="17">
        <v>1</v>
      </c>
      <c r="EP54" s="17"/>
      <c r="EQ54" s="17"/>
      <c r="ER54" s="17"/>
      <c r="ES54" s="17">
        <v>1</v>
      </c>
      <c r="ET54" s="17"/>
      <c r="EU54" s="17"/>
      <c r="EV54" s="17">
        <v>2</v>
      </c>
      <c r="EW54" s="17"/>
      <c r="EX54" s="17">
        <v>2</v>
      </c>
      <c r="EY54" s="17"/>
      <c r="EZ54" s="17"/>
      <c r="FA54" s="17">
        <v>1</v>
      </c>
      <c r="FB54" s="17">
        <v>1</v>
      </c>
      <c r="FC54" s="17">
        <v>1</v>
      </c>
      <c r="FD54" s="17">
        <v>1</v>
      </c>
      <c r="FE54" s="17">
        <v>1</v>
      </c>
      <c r="FF54" s="17"/>
      <c r="FG54" s="17">
        <v>1</v>
      </c>
      <c r="FH54" s="17">
        <v>1</v>
      </c>
      <c r="FI54" s="17">
        <v>1</v>
      </c>
      <c r="FJ54" s="17">
        <v>1</v>
      </c>
      <c r="FK54" s="17">
        <v>1</v>
      </c>
      <c r="FL54" s="17"/>
      <c r="FM54" s="17">
        <v>1</v>
      </c>
      <c r="FN54" s="17">
        <v>1</v>
      </c>
      <c r="FO54" s="17">
        <v>1</v>
      </c>
      <c r="FP54" s="17">
        <v>1</v>
      </c>
      <c r="FQ54" s="17">
        <v>1</v>
      </c>
      <c r="FR54" s="17"/>
      <c r="FS54" s="17">
        <v>1</v>
      </c>
      <c r="FT54" s="17">
        <v>2</v>
      </c>
      <c r="FU54" s="17">
        <v>2</v>
      </c>
      <c r="FV54" s="17">
        <v>2</v>
      </c>
      <c r="FW54" s="17">
        <v>1</v>
      </c>
      <c r="FX54" s="17"/>
      <c r="FY54" s="17"/>
      <c r="FZ54" s="17">
        <v>1</v>
      </c>
      <c r="GA54" s="17"/>
      <c r="GB54" s="17">
        <v>1</v>
      </c>
      <c r="GC54" s="17">
        <v>1</v>
      </c>
      <c r="GD54" s="17"/>
      <c r="GE54" s="17"/>
      <c r="GF54" s="17"/>
      <c r="GG54" s="17">
        <v>1</v>
      </c>
      <c r="GH54" s="17"/>
      <c r="GI54" s="17">
        <v>1</v>
      </c>
      <c r="GJ54" s="17"/>
      <c r="GK54" s="17">
        <v>1</v>
      </c>
      <c r="GL54" s="17"/>
      <c r="GM54" s="17">
        <v>1</v>
      </c>
      <c r="GN54" s="17"/>
      <c r="GO54" s="17">
        <v>1</v>
      </c>
      <c r="GP54" s="17">
        <v>1</v>
      </c>
      <c r="GQ54" s="17">
        <v>1</v>
      </c>
      <c r="GR54" s="17"/>
      <c r="GS54" s="17">
        <v>1</v>
      </c>
      <c r="GT54" s="17">
        <v>1</v>
      </c>
      <c r="GU54" s="17">
        <v>1</v>
      </c>
      <c r="GV54" s="17"/>
      <c r="GW54" s="17"/>
      <c r="GX54" s="17">
        <v>1</v>
      </c>
      <c r="GY54" s="17">
        <v>1</v>
      </c>
      <c r="GZ54" s="17">
        <v>1</v>
      </c>
      <c r="HA54" s="17"/>
      <c r="HB54" s="17">
        <v>1</v>
      </c>
      <c r="HC54" s="17">
        <v>1</v>
      </c>
      <c r="HD54" s="17">
        <v>1</v>
      </c>
      <c r="HE54" s="17"/>
      <c r="HF54" s="17">
        <v>1</v>
      </c>
      <c r="HG54" s="17">
        <v>1</v>
      </c>
      <c r="HH54" s="17"/>
      <c r="HI54" s="17">
        <v>1</v>
      </c>
      <c r="HJ54" s="17">
        <v>1</v>
      </c>
      <c r="HK54" s="17">
        <v>1</v>
      </c>
      <c r="HL54" s="17">
        <v>1</v>
      </c>
      <c r="HM54" s="17">
        <v>1</v>
      </c>
      <c r="HN54" s="17"/>
      <c r="HO54" s="17"/>
      <c r="HP54" s="17">
        <v>1</v>
      </c>
      <c r="HQ54" s="17"/>
      <c r="HR54" s="17"/>
      <c r="HS54" s="17"/>
      <c r="HT54" s="17">
        <v>2</v>
      </c>
      <c r="HU54" s="17"/>
      <c r="HV54" s="17">
        <v>1</v>
      </c>
      <c r="HW54" s="17"/>
      <c r="HX54" s="17">
        <v>1</v>
      </c>
      <c r="HY54" s="17"/>
      <c r="HZ54" s="17">
        <v>1</v>
      </c>
      <c r="IA54" s="17">
        <v>1</v>
      </c>
      <c r="IB54" s="17"/>
      <c r="IC54" s="17"/>
      <c r="ID54" s="17"/>
      <c r="IE54" s="17">
        <v>1</v>
      </c>
      <c r="IF54" s="17">
        <v>1</v>
      </c>
      <c r="IG54" s="17"/>
      <c r="IH54" s="17">
        <v>1</v>
      </c>
      <c r="II54" s="17"/>
      <c r="IJ54" s="17"/>
      <c r="IK54" s="17">
        <v>1</v>
      </c>
      <c r="IL54" s="17">
        <v>1</v>
      </c>
      <c r="IM54" s="17"/>
      <c r="IN54" s="17">
        <v>1</v>
      </c>
      <c r="IO54" s="17"/>
      <c r="IP54" s="17">
        <v>1</v>
      </c>
      <c r="IQ54" s="17"/>
      <c r="IR54" s="17"/>
      <c r="IS54" s="17"/>
      <c r="IT54" s="17">
        <v>1</v>
      </c>
      <c r="IU54" s="17"/>
      <c r="IV54" s="17"/>
      <c r="IW54" s="17">
        <v>1</v>
      </c>
      <c r="IX54" s="17">
        <v>1</v>
      </c>
      <c r="IY54" s="17">
        <v>1</v>
      </c>
      <c r="IZ54" s="17">
        <v>1</v>
      </c>
      <c r="JA54" s="17">
        <v>2</v>
      </c>
      <c r="JB54" s="17"/>
      <c r="JC54" s="17"/>
      <c r="JD54" s="17"/>
      <c r="JE54" s="17">
        <v>2</v>
      </c>
      <c r="JF54" s="17"/>
      <c r="JG54" s="17"/>
      <c r="JH54" s="17"/>
      <c r="JI54" s="17"/>
      <c r="JJ54" s="17"/>
      <c r="JK54" s="17">
        <v>2</v>
      </c>
      <c r="JL54" s="17">
        <v>1</v>
      </c>
      <c r="JM54" s="17">
        <v>1</v>
      </c>
      <c r="JN54" s="17"/>
      <c r="JO54" s="17"/>
      <c r="JP54" s="17"/>
      <c r="JQ54" s="17">
        <v>2</v>
      </c>
      <c r="JR54" s="17">
        <v>1</v>
      </c>
      <c r="JS54" s="17"/>
      <c r="JT54" s="17"/>
      <c r="JU54" s="17">
        <v>2</v>
      </c>
      <c r="JV54" s="17"/>
      <c r="JW54" s="17"/>
      <c r="JX54" s="17">
        <v>1</v>
      </c>
      <c r="JY54" s="17">
        <v>1</v>
      </c>
      <c r="JZ54" s="17">
        <v>2</v>
      </c>
      <c r="KA54" s="17">
        <v>1</v>
      </c>
      <c r="KB54" s="17"/>
      <c r="KC54" s="17">
        <v>1</v>
      </c>
      <c r="KD54" s="17">
        <v>2</v>
      </c>
      <c r="KE54" s="17"/>
      <c r="KF54" s="17">
        <v>1</v>
      </c>
      <c r="KG54" s="17">
        <v>2</v>
      </c>
      <c r="KH54" s="17">
        <v>2</v>
      </c>
      <c r="KI54" s="17">
        <v>2</v>
      </c>
      <c r="KJ54" s="17">
        <v>2</v>
      </c>
      <c r="KK54" s="17">
        <v>2</v>
      </c>
      <c r="KL54" s="17">
        <v>2</v>
      </c>
      <c r="KM54" s="17">
        <v>2</v>
      </c>
      <c r="KN54" s="17"/>
      <c r="KO54" s="17"/>
      <c r="KP54" s="17">
        <v>2</v>
      </c>
      <c r="KQ54" s="17">
        <v>1</v>
      </c>
      <c r="KR54" s="17"/>
      <c r="KS54" s="17"/>
      <c r="KT54" s="17">
        <v>1</v>
      </c>
      <c r="KU54" s="17"/>
      <c r="KV54" s="17"/>
      <c r="KW54" s="17"/>
      <c r="KX54" s="17">
        <v>1</v>
      </c>
      <c r="KY54" s="17">
        <v>1</v>
      </c>
      <c r="KZ54" s="17"/>
      <c r="LA54" s="17">
        <v>1</v>
      </c>
      <c r="LB54" s="17"/>
      <c r="LC54" s="17"/>
      <c r="LD54" s="17"/>
      <c r="LE54" s="17"/>
      <c r="LF54" s="17">
        <v>1</v>
      </c>
      <c r="LG54" s="17">
        <v>1</v>
      </c>
      <c r="LH54" s="17"/>
      <c r="LI54" s="17">
        <v>1</v>
      </c>
      <c r="LJ54" s="17"/>
      <c r="LK54" s="17"/>
      <c r="LL54" s="17">
        <v>1</v>
      </c>
      <c r="LM54" s="17"/>
      <c r="LN54" s="17">
        <v>1</v>
      </c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>
        <v>1</v>
      </c>
      <c r="NC54" s="17">
        <v>1</v>
      </c>
      <c r="ND54" s="17"/>
      <c r="NE54" s="17"/>
      <c r="NF54" s="17"/>
      <c r="NG54" s="17"/>
      <c r="NH54" s="17">
        <v>1</v>
      </c>
      <c r="NI54" s="17"/>
      <c r="NJ54" s="17">
        <v>1</v>
      </c>
      <c r="NK54" s="17">
        <v>1</v>
      </c>
      <c r="NL54" s="17"/>
      <c r="NM54" s="17">
        <v>1</v>
      </c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>
        <v>1</v>
      </c>
      <c r="OH54" s="17">
        <v>1</v>
      </c>
      <c r="OI54" s="17"/>
      <c r="OJ54" s="17">
        <v>1</v>
      </c>
      <c r="OK54" s="17">
        <v>1</v>
      </c>
      <c r="OL54" s="17">
        <v>1</v>
      </c>
      <c r="OM54" s="17"/>
      <c r="ON54" s="17"/>
      <c r="OO54" s="17"/>
      <c r="OP54" s="17"/>
      <c r="OQ54" s="17">
        <v>2</v>
      </c>
      <c r="OR54" s="17">
        <v>2</v>
      </c>
      <c r="OS54" s="17"/>
      <c r="OT54" s="17"/>
      <c r="OU54" s="17"/>
      <c r="OV54" s="17">
        <v>2</v>
      </c>
      <c r="OW54" s="17"/>
      <c r="OX54" s="17"/>
      <c r="OY54" s="17"/>
      <c r="OZ54" s="17"/>
      <c r="PA54" s="17"/>
      <c r="PB54" s="17"/>
      <c r="PC54" s="17"/>
      <c r="PD54" s="17"/>
      <c r="PE54" s="17"/>
      <c r="PF54" s="17">
        <v>1</v>
      </c>
      <c r="PG54" s="17">
        <v>1</v>
      </c>
      <c r="PH54" s="17"/>
      <c r="PI54" s="17">
        <v>1</v>
      </c>
      <c r="PJ54" s="17">
        <v>1</v>
      </c>
      <c r="PK54" s="17"/>
      <c r="PL54" s="17"/>
      <c r="PM54" s="17">
        <v>1</v>
      </c>
      <c r="PN54" s="17">
        <v>1</v>
      </c>
      <c r="PO54" s="17"/>
      <c r="PP54" s="17"/>
      <c r="PQ54" s="17">
        <v>1</v>
      </c>
      <c r="PR54" s="17">
        <v>1</v>
      </c>
      <c r="PS54" s="17"/>
      <c r="PT54" s="17"/>
      <c r="PU54" s="17"/>
      <c r="PV54" s="17"/>
      <c r="PW54" s="17" t="s">
        <v>506</v>
      </c>
      <c r="PX54" s="17" t="s">
        <v>506</v>
      </c>
      <c r="PY54" s="17" t="s">
        <v>506</v>
      </c>
      <c r="PZ54" s="17" t="s">
        <v>506</v>
      </c>
      <c r="QA54" s="17" t="s">
        <v>506</v>
      </c>
      <c r="QB54" s="17" t="s">
        <v>506</v>
      </c>
      <c r="QC54" s="17" t="s">
        <v>506</v>
      </c>
      <c r="QD54" s="17" t="s">
        <v>506</v>
      </c>
      <c r="QE54" s="17" t="s">
        <v>506</v>
      </c>
      <c r="QF54" s="17" t="s">
        <v>506</v>
      </c>
      <c r="QG54" s="17" t="s">
        <v>506</v>
      </c>
      <c r="QH54" s="17" t="s">
        <v>506</v>
      </c>
      <c r="QI54" s="17">
        <v>1</v>
      </c>
      <c r="QJ54" s="17">
        <v>1</v>
      </c>
      <c r="QK54" s="17"/>
      <c r="QL54" s="17">
        <v>1</v>
      </c>
      <c r="QM54" s="17">
        <v>1</v>
      </c>
      <c r="QN54" s="17">
        <v>1</v>
      </c>
      <c r="QO54" s="17">
        <v>1</v>
      </c>
      <c r="QP54" s="17">
        <v>1</v>
      </c>
      <c r="QQ54" s="17">
        <v>1</v>
      </c>
      <c r="QR54" s="17">
        <v>1</v>
      </c>
      <c r="QS54" s="17">
        <v>1</v>
      </c>
      <c r="QT54" s="17">
        <v>1</v>
      </c>
      <c r="QU54" s="17">
        <v>1</v>
      </c>
      <c r="QV54" s="17">
        <v>1</v>
      </c>
      <c r="QW54" s="17">
        <v>1</v>
      </c>
      <c r="QX54" s="17">
        <v>1</v>
      </c>
      <c r="QY54" s="17">
        <v>1</v>
      </c>
      <c r="QZ54" s="17">
        <v>1</v>
      </c>
      <c r="RA54" s="17">
        <v>1</v>
      </c>
      <c r="RB54" s="17">
        <v>1</v>
      </c>
      <c r="RC54" s="17">
        <v>1</v>
      </c>
      <c r="RD54" s="17">
        <v>1</v>
      </c>
      <c r="RE54" s="17">
        <v>1</v>
      </c>
      <c r="RF54" s="17">
        <v>1</v>
      </c>
      <c r="RG54" s="17">
        <v>1</v>
      </c>
      <c r="RH54" s="17">
        <v>1</v>
      </c>
      <c r="RI54" s="17">
        <v>1</v>
      </c>
      <c r="RJ54" s="17">
        <v>1</v>
      </c>
      <c r="RK54" s="17">
        <v>1</v>
      </c>
      <c r="RL54" s="17">
        <v>1</v>
      </c>
      <c r="RM54" s="17">
        <v>1</v>
      </c>
      <c r="RN54" s="17">
        <v>1</v>
      </c>
      <c r="RO54" s="17">
        <v>1</v>
      </c>
      <c r="RP54" s="17">
        <v>1</v>
      </c>
      <c r="RQ54" s="17">
        <v>1</v>
      </c>
      <c r="RR54" s="17">
        <v>1</v>
      </c>
      <c r="RS54" s="17">
        <v>1</v>
      </c>
      <c r="RT54" s="17">
        <v>1</v>
      </c>
      <c r="RU54" s="17">
        <v>1</v>
      </c>
      <c r="RV54" s="17">
        <v>1</v>
      </c>
      <c r="RW54" s="17">
        <v>0</v>
      </c>
      <c r="RX54" s="17">
        <v>1</v>
      </c>
      <c r="RY54" s="17">
        <v>1</v>
      </c>
      <c r="RZ54" s="17">
        <v>0</v>
      </c>
      <c r="SA54" s="17">
        <v>1</v>
      </c>
      <c r="SB54" s="17">
        <v>1</v>
      </c>
      <c r="SC54" s="17">
        <v>0</v>
      </c>
      <c r="SD54" s="17">
        <v>1</v>
      </c>
      <c r="SE54" s="17">
        <v>1</v>
      </c>
      <c r="SF54" s="17">
        <v>1</v>
      </c>
      <c r="SG54" s="17">
        <v>1</v>
      </c>
      <c r="SH54" s="17">
        <v>1</v>
      </c>
      <c r="SI54" s="17">
        <v>10055</v>
      </c>
      <c r="SJ54" s="19">
        <f t="shared" si="3"/>
        <v>127</v>
      </c>
      <c r="SK54" s="19">
        <f t="shared" si="4"/>
        <v>170</v>
      </c>
      <c r="SL54" s="19">
        <f t="shared" si="5"/>
        <v>43</v>
      </c>
      <c r="SM54" s="9">
        <v>10055</v>
      </c>
      <c r="SN54" s="9" t="s">
        <v>509</v>
      </c>
      <c r="SO54" s="10">
        <v>2</v>
      </c>
      <c r="SP54" s="9">
        <v>3</v>
      </c>
      <c r="SQ54" s="11" t="s">
        <v>517</v>
      </c>
      <c r="SR54" s="9">
        <v>16</v>
      </c>
      <c r="SS54" s="28">
        <v>53</v>
      </c>
      <c r="ST54" s="28">
        <v>15</v>
      </c>
      <c r="SU54" s="28">
        <v>170</v>
      </c>
      <c r="SV54" s="28">
        <v>49</v>
      </c>
      <c r="SW54" s="28">
        <v>41</v>
      </c>
      <c r="SX54" s="28">
        <v>63</v>
      </c>
      <c r="SY54" s="29">
        <v>59</v>
      </c>
      <c r="SZ54" s="30">
        <v>98</v>
      </c>
      <c r="TA54" s="31">
        <v>26</v>
      </c>
      <c r="TB54" s="31">
        <v>75</v>
      </c>
    </row>
    <row r="55" spans="1:522" ht="15.75" customHeight="1" x14ac:dyDescent="0.2">
      <c r="A55" s="17">
        <v>10056</v>
      </c>
      <c r="B55" s="17" t="s">
        <v>501</v>
      </c>
      <c r="C55" s="17" t="s">
        <v>502</v>
      </c>
      <c r="D55" s="17" t="s">
        <v>512</v>
      </c>
      <c r="E55" s="17" t="s">
        <v>504</v>
      </c>
      <c r="F55" s="18">
        <v>38060</v>
      </c>
      <c r="G55" s="18">
        <v>38534</v>
      </c>
      <c r="H55" s="14">
        <f t="shared" si="2"/>
        <v>15</v>
      </c>
      <c r="I55" s="17" t="s">
        <v>505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/>
      <c r="AA55" s="17">
        <v>1</v>
      </c>
      <c r="AB55" s="17">
        <v>1</v>
      </c>
      <c r="AC55" s="17">
        <v>1</v>
      </c>
      <c r="AD55" s="17"/>
      <c r="AE55" s="17">
        <v>1</v>
      </c>
      <c r="AF55" s="17">
        <v>1</v>
      </c>
      <c r="AG55" s="17"/>
      <c r="AH55" s="17">
        <v>1</v>
      </c>
      <c r="AI55" s="17"/>
      <c r="AJ55" s="17">
        <v>1</v>
      </c>
      <c r="AK55" s="17">
        <v>1</v>
      </c>
      <c r="AL55" s="17"/>
      <c r="AM55" s="17">
        <v>1</v>
      </c>
      <c r="AN55" s="17">
        <v>1</v>
      </c>
      <c r="AO55" s="17" t="s">
        <v>507</v>
      </c>
      <c r="AP55" s="17"/>
      <c r="AQ55" s="17">
        <v>2</v>
      </c>
      <c r="AR55" s="17">
        <v>1</v>
      </c>
      <c r="AS55" s="17"/>
      <c r="AT55" s="17"/>
      <c r="AU55" s="17">
        <v>2</v>
      </c>
      <c r="AV55" s="17">
        <v>2</v>
      </c>
      <c r="AW55" s="17">
        <v>2</v>
      </c>
      <c r="AX55" s="17">
        <v>2</v>
      </c>
      <c r="AY55" s="17">
        <v>2</v>
      </c>
      <c r="AZ55" s="17">
        <v>2</v>
      </c>
      <c r="BA55" s="17">
        <v>2</v>
      </c>
      <c r="BB55" s="17">
        <v>1</v>
      </c>
      <c r="BC55" s="17"/>
      <c r="BD55" s="17"/>
      <c r="BE55" s="17">
        <v>1</v>
      </c>
      <c r="BF55" s="17">
        <v>1</v>
      </c>
      <c r="BG55" s="17"/>
      <c r="BH55" s="17"/>
      <c r="BI55" s="17"/>
      <c r="BJ55" s="17">
        <v>1</v>
      </c>
      <c r="BK55" s="17"/>
      <c r="BL55" s="17">
        <v>1</v>
      </c>
      <c r="BM55" s="17"/>
      <c r="BN55" s="17">
        <v>1</v>
      </c>
      <c r="BO55" s="17"/>
      <c r="BP55" s="17">
        <v>1</v>
      </c>
      <c r="BQ55" s="17">
        <v>1</v>
      </c>
      <c r="BR55" s="17">
        <v>1</v>
      </c>
      <c r="BS55" s="17"/>
      <c r="BT55" s="17"/>
      <c r="BU55" s="17"/>
      <c r="BV55" s="17">
        <v>1</v>
      </c>
      <c r="BW55" s="17">
        <v>1</v>
      </c>
      <c r="BX55" s="17"/>
      <c r="BY55" s="17"/>
      <c r="BZ55" s="17">
        <v>1</v>
      </c>
      <c r="CA55" s="17"/>
      <c r="CB55" s="17">
        <v>1</v>
      </c>
      <c r="CC55" s="17"/>
      <c r="CD55" s="17">
        <v>1</v>
      </c>
      <c r="CE55" s="17"/>
      <c r="CF55" s="17"/>
      <c r="CG55" s="17">
        <v>1</v>
      </c>
      <c r="CH55" s="17"/>
      <c r="CI55" s="17"/>
      <c r="CJ55" s="17"/>
      <c r="CK55" s="17"/>
      <c r="CL55" s="17"/>
      <c r="CM55" s="17">
        <v>1</v>
      </c>
      <c r="CN55" s="17">
        <v>1</v>
      </c>
      <c r="CO55" s="17">
        <v>1</v>
      </c>
      <c r="CP55" s="17">
        <v>2</v>
      </c>
      <c r="CQ55" s="17">
        <v>1</v>
      </c>
      <c r="CR55" s="17">
        <v>1</v>
      </c>
      <c r="CS55" s="17">
        <v>1</v>
      </c>
      <c r="CT55" s="17">
        <v>1</v>
      </c>
      <c r="CU55" s="17">
        <v>1</v>
      </c>
      <c r="CV55" s="17"/>
      <c r="CW55" s="17">
        <v>1</v>
      </c>
      <c r="CX55" s="17"/>
      <c r="CY55" s="17">
        <v>1</v>
      </c>
      <c r="CZ55" s="17">
        <v>1</v>
      </c>
      <c r="DA55" s="17"/>
      <c r="DB55" s="17"/>
      <c r="DC55" s="17">
        <v>1</v>
      </c>
      <c r="DD55" s="17">
        <v>1</v>
      </c>
      <c r="DE55" s="17">
        <v>2</v>
      </c>
      <c r="DF55" s="17">
        <v>2</v>
      </c>
      <c r="DG55" s="17"/>
      <c r="DH55" s="17"/>
      <c r="DI55" s="17"/>
      <c r="DJ55" s="17"/>
      <c r="DK55" s="17"/>
      <c r="DL55" s="17">
        <v>1</v>
      </c>
      <c r="DM55" s="17">
        <v>2</v>
      </c>
      <c r="DN55" s="17"/>
      <c r="DO55" s="17"/>
      <c r="DP55" s="17">
        <v>2</v>
      </c>
      <c r="DQ55" s="17">
        <v>2</v>
      </c>
      <c r="DR55" s="17"/>
      <c r="DS55" s="17"/>
      <c r="DT55" s="17"/>
      <c r="DU55" s="17"/>
      <c r="DV55" s="17">
        <v>1</v>
      </c>
      <c r="DW55" s="17">
        <v>2</v>
      </c>
      <c r="DX55" s="17"/>
      <c r="DY55" s="17">
        <v>1</v>
      </c>
      <c r="DZ55" s="17"/>
      <c r="EA55" s="17"/>
      <c r="EB55" s="17"/>
      <c r="EC55" s="17">
        <v>1</v>
      </c>
      <c r="ED55" s="17">
        <v>1</v>
      </c>
      <c r="EE55" s="17"/>
      <c r="EF55" s="17"/>
      <c r="EG55" s="17">
        <v>1</v>
      </c>
      <c r="EH55" s="17"/>
      <c r="EI55" s="17">
        <v>1</v>
      </c>
      <c r="EJ55" s="17"/>
      <c r="EK55" s="17"/>
      <c r="EL55" s="17"/>
      <c r="EM55" s="17">
        <v>1</v>
      </c>
      <c r="EN55" s="17"/>
      <c r="EO55" s="17">
        <v>2</v>
      </c>
      <c r="EP55" s="17"/>
      <c r="EQ55" s="17"/>
      <c r="ER55" s="17"/>
      <c r="ES55" s="17"/>
      <c r="ET55" s="17"/>
      <c r="EU55" s="17"/>
      <c r="EV55" s="17">
        <v>2</v>
      </c>
      <c r="EW55" s="17"/>
      <c r="EX55" s="17">
        <v>2</v>
      </c>
      <c r="EY55" s="17"/>
      <c r="EZ55" s="17"/>
      <c r="FA55" s="17"/>
      <c r="FB55" s="17">
        <v>1</v>
      </c>
      <c r="FC55" s="17"/>
      <c r="FD55" s="17">
        <v>1</v>
      </c>
      <c r="FE55" s="17">
        <v>1</v>
      </c>
      <c r="FF55" s="17"/>
      <c r="FG55" s="17">
        <v>1</v>
      </c>
      <c r="FH55" s="17"/>
      <c r="FI55" s="17">
        <v>1</v>
      </c>
      <c r="FJ55" s="17">
        <v>1</v>
      </c>
      <c r="FK55" s="17">
        <v>1</v>
      </c>
      <c r="FL55" s="17"/>
      <c r="FM55" s="17"/>
      <c r="FN55" s="17"/>
      <c r="FO55" s="17">
        <v>1</v>
      </c>
      <c r="FP55" s="17">
        <v>2</v>
      </c>
      <c r="FQ55" s="17">
        <v>2</v>
      </c>
      <c r="FR55" s="17"/>
      <c r="FS55" s="17">
        <v>1</v>
      </c>
      <c r="FT55" s="17">
        <v>1</v>
      </c>
      <c r="FU55" s="17"/>
      <c r="FV55" s="17"/>
      <c r="FW55" s="17"/>
      <c r="FX55" s="17"/>
      <c r="FY55" s="17"/>
      <c r="FZ55" s="17">
        <v>1</v>
      </c>
      <c r="GA55" s="17">
        <v>1</v>
      </c>
      <c r="GB55" s="17"/>
      <c r="GC55" s="17">
        <v>1</v>
      </c>
      <c r="GD55" s="17"/>
      <c r="GE55" s="17"/>
      <c r="GF55" s="17"/>
      <c r="GG55" s="17">
        <v>1</v>
      </c>
      <c r="GH55" s="17"/>
      <c r="GI55" s="17"/>
      <c r="GJ55" s="17"/>
      <c r="GK55" s="17">
        <v>1</v>
      </c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>
        <v>1</v>
      </c>
      <c r="GZ55" s="17">
        <v>1</v>
      </c>
      <c r="HA55" s="17"/>
      <c r="HB55" s="17"/>
      <c r="HC55" s="17"/>
      <c r="HD55" s="17"/>
      <c r="HE55" s="17">
        <v>1</v>
      </c>
      <c r="HF55" s="17">
        <v>1</v>
      </c>
      <c r="HG55" s="17"/>
      <c r="HH55" s="17">
        <v>1</v>
      </c>
      <c r="HI55" s="17"/>
      <c r="HJ55" s="17"/>
      <c r="HK55" s="17"/>
      <c r="HL55" s="17">
        <v>2</v>
      </c>
      <c r="HM55" s="17"/>
      <c r="HN55" s="17"/>
      <c r="HO55" s="17">
        <v>1</v>
      </c>
      <c r="HP55" s="17">
        <v>1</v>
      </c>
      <c r="HQ55" s="17"/>
      <c r="HR55" s="17"/>
      <c r="HS55" s="17"/>
      <c r="HT55" s="17"/>
      <c r="HU55" s="17">
        <v>1</v>
      </c>
      <c r="HV55" s="17">
        <v>1</v>
      </c>
      <c r="HW55" s="17"/>
      <c r="HX55" s="17"/>
      <c r="HY55" s="17"/>
      <c r="HZ55" s="17"/>
      <c r="IA55" s="17"/>
      <c r="IB55" s="17"/>
      <c r="IC55" s="17"/>
      <c r="ID55" s="17"/>
      <c r="IE55" s="17"/>
      <c r="IF55" s="17">
        <v>1</v>
      </c>
      <c r="IG55" s="17"/>
      <c r="IH55" s="17">
        <v>1</v>
      </c>
      <c r="II55" s="17"/>
      <c r="IJ55" s="17">
        <v>1</v>
      </c>
      <c r="IK55" s="17">
        <v>1</v>
      </c>
      <c r="IL55" s="17"/>
      <c r="IM55" s="17"/>
      <c r="IN55" s="17"/>
      <c r="IO55" s="17"/>
      <c r="IP55" s="17">
        <v>1</v>
      </c>
      <c r="IQ55" s="17"/>
      <c r="IR55" s="17"/>
      <c r="IS55" s="17"/>
      <c r="IT55" s="17"/>
      <c r="IU55" s="17"/>
      <c r="IV55" s="17">
        <v>1</v>
      </c>
      <c r="IW55" s="17"/>
      <c r="IX55" s="17"/>
      <c r="IY55" s="17">
        <v>1</v>
      </c>
      <c r="IZ55" s="17"/>
      <c r="JA55" s="17">
        <v>1</v>
      </c>
      <c r="JB55" s="17"/>
      <c r="JC55" s="17"/>
      <c r="JD55" s="17">
        <v>2</v>
      </c>
      <c r="JE55" s="17">
        <v>2</v>
      </c>
      <c r="JF55" s="17"/>
      <c r="JG55" s="17"/>
      <c r="JH55" s="17"/>
      <c r="JI55" s="17"/>
      <c r="JJ55" s="17"/>
      <c r="JK55" s="17">
        <v>2</v>
      </c>
      <c r="JL55" s="17"/>
      <c r="JM55" s="17">
        <v>2</v>
      </c>
      <c r="JN55" s="17">
        <v>2</v>
      </c>
      <c r="JO55" s="17"/>
      <c r="JP55" s="17"/>
      <c r="JQ55" s="17">
        <v>2</v>
      </c>
      <c r="JR55" s="17">
        <v>2</v>
      </c>
      <c r="JS55" s="17"/>
      <c r="JT55" s="17"/>
      <c r="JU55" s="17"/>
      <c r="JV55" s="17"/>
      <c r="JW55" s="17"/>
      <c r="JX55" s="17">
        <v>1</v>
      </c>
      <c r="JY55" s="17"/>
      <c r="JZ55" s="17">
        <v>1</v>
      </c>
      <c r="KA55" s="17"/>
      <c r="KB55" s="17">
        <v>1</v>
      </c>
      <c r="KC55" s="17">
        <v>1</v>
      </c>
      <c r="KD55" s="17">
        <v>2</v>
      </c>
      <c r="KE55" s="17">
        <v>1</v>
      </c>
      <c r="KF55" s="17">
        <v>1</v>
      </c>
      <c r="KG55" s="17">
        <v>1</v>
      </c>
      <c r="KH55" s="17">
        <v>1</v>
      </c>
      <c r="KI55" s="17"/>
      <c r="KJ55" s="17">
        <v>1</v>
      </c>
      <c r="KK55" s="17">
        <v>2</v>
      </c>
      <c r="KL55" s="17">
        <v>2</v>
      </c>
      <c r="KM55" s="17">
        <v>1</v>
      </c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>
        <v>1</v>
      </c>
      <c r="KY55" s="17">
        <v>1</v>
      </c>
      <c r="KZ55" s="17"/>
      <c r="LA55" s="17"/>
      <c r="LB55" s="17"/>
      <c r="LC55" s="17">
        <v>1</v>
      </c>
      <c r="LD55" s="17"/>
      <c r="LE55" s="17"/>
      <c r="LF55" s="17"/>
      <c r="LG55" s="17">
        <v>1</v>
      </c>
      <c r="LH55" s="17">
        <v>1</v>
      </c>
      <c r="LI55" s="17"/>
      <c r="LJ55" s="17"/>
      <c r="LK55" s="17">
        <v>1</v>
      </c>
      <c r="LL55" s="17"/>
      <c r="LM55" s="17"/>
      <c r="LN55" s="17"/>
      <c r="LO55" s="17"/>
      <c r="LP55" s="17">
        <v>1</v>
      </c>
      <c r="LQ55" s="17">
        <v>1</v>
      </c>
      <c r="LR55" s="17"/>
      <c r="LS55" s="17">
        <v>1</v>
      </c>
      <c r="LT55" s="17"/>
      <c r="LU55" s="17"/>
      <c r="LV55" s="17"/>
      <c r="LW55" s="17"/>
      <c r="LX55" s="17">
        <v>1</v>
      </c>
      <c r="LY55" s="17"/>
      <c r="LZ55" s="17"/>
      <c r="MA55" s="17"/>
      <c r="MB55" s="17"/>
      <c r="MC55" s="17"/>
      <c r="MD55" s="17"/>
      <c r="ME55" s="17">
        <v>1</v>
      </c>
      <c r="MF55" s="17"/>
      <c r="MG55" s="17"/>
      <c r="MH55" s="17">
        <v>1</v>
      </c>
      <c r="MI55" s="17"/>
      <c r="MJ55" s="17"/>
      <c r="MK55" s="17"/>
      <c r="ML55" s="17">
        <v>1</v>
      </c>
      <c r="MM55" s="17">
        <v>1</v>
      </c>
      <c r="MN55" s="17">
        <v>1</v>
      </c>
      <c r="MO55" s="17">
        <v>1</v>
      </c>
      <c r="MP55" s="17">
        <v>2</v>
      </c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>
        <v>1</v>
      </c>
      <c r="NC55" s="17"/>
      <c r="ND55" s="17"/>
      <c r="NE55" s="17"/>
      <c r="NF55" s="17"/>
      <c r="NG55" s="17">
        <v>1</v>
      </c>
      <c r="NH55" s="17">
        <v>1</v>
      </c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>
        <v>2</v>
      </c>
      <c r="NW55" s="17">
        <v>1</v>
      </c>
      <c r="NX55" s="17"/>
      <c r="NY55" s="17"/>
      <c r="NZ55" s="17"/>
      <c r="OA55" s="17">
        <v>1</v>
      </c>
      <c r="OB55" s="17"/>
      <c r="OC55" s="17"/>
      <c r="OD55" s="17"/>
      <c r="OE55" s="17"/>
      <c r="OF55" s="17"/>
      <c r="OG55" s="17">
        <v>1</v>
      </c>
      <c r="OH55" s="17">
        <v>1</v>
      </c>
      <c r="OI55" s="17"/>
      <c r="OJ55" s="17"/>
      <c r="OK55" s="17"/>
      <c r="OL55" s="17">
        <v>2</v>
      </c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>
        <v>1</v>
      </c>
      <c r="PB55" s="17"/>
      <c r="PC55" s="17"/>
      <c r="PD55" s="17">
        <v>1</v>
      </c>
      <c r="PE55" s="17">
        <v>1</v>
      </c>
      <c r="PF55" s="17"/>
      <c r="PG55" s="17"/>
      <c r="PH55" s="17"/>
      <c r="PI55" s="17">
        <v>1</v>
      </c>
      <c r="PJ55" s="17">
        <v>1</v>
      </c>
      <c r="PK55" s="17">
        <v>1</v>
      </c>
      <c r="PL55" s="17"/>
      <c r="PM55" s="17"/>
      <c r="PN55" s="17">
        <v>1</v>
      </c>
      <c r="PO55" s="17"/>
      <c r="PP55" s="17"/>
      <c r="PQ55" s="17">
        <v>2</v>
      </c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 t="s">
        <v>508</v>
      </c>
      <c r="QC55" s="17" t="s">
        <v>508</v>
      </c>
      <c r="QD55" s="17"/>
      <c r="QE55" s="17" t="s">
        <v>507</v>
      </c>
      <c r="QF55" s="17"/>
      <c r="QG55" s="17" t="s">
        <v>508</v>
      </c>
      <c r="QH55" s="17"/>
      <c r="QI55" s="17">
        <v>1</v>
      </c>
      <c r="QJ55" s="17"/>
      <c r="QK55" s="17">
        <v>1</v>
      </c>
      <c r="QL55" s="17">
        <v>1</v>
      </c>
      <c r="QM55" s="17">
        <v>0</v>
      </c>
      <c r="QN55" s="17">
        <v>1</v>
      </c>
      <c r="QO55" s="17"/>
      <c r="QP55" s="17">
        <v>1</v>
      </c>
      <c r="QQ55" s="17">
        <v>1</v>
      </c>
      <c r="QR55" s="17">
        <v>0</v>
      </c>
      <c r="QS55" s="17">
        <v>1</v>
      </c>
      <c r="QT55" s="17">
        <v>1</v>
      </c>
      <c r="QU55" s="17">
        <v>0</v>
      </c>
      <c r="QV55" s="17">
        <v>1</v>
      </c>
      <c r="QW55" s="17">
        <v>0</v>
      </c>
      <c r="QX55" s="17">
        <v>0</v>
      </c>
      <c r="QY55" s="17">
        <v>0</v>
      </c>
      <c r="QZ55" s="17">
        <v>1</v>
      </c>
      <c r="RA55" s="17">
        <v>1</v>
      </c>
      <c r="RB55" s="17">
        <v>1</v>
      </c>
      <c r="RC55" s="17">
        <v>1</v>
      </c>
      <c r="RD55" s="17">
        <v>0</v>
      </c>
      <c r="RE55" s="17">
        <v>0</v>
      </c>
      <c r="RF55" s="17">
        <v>0</v>
      </c>
      <c r="RG55" s="17">
        <v>0</v>
      </c>
      <c r="RH55" s="17">
        <v>0</v>
      </c>
      <c r="RI55" s="17">
        <v>0</v>
      </c>
      <c r="RJ55" s="17">
        <v>0</v>
      </c>
      <c r="RK55" s="17">
        <v>0</v>
      </c>
      <c r="RL55" s="17">
        <v>0</v>
      </c>
      <c r="RM55" s="17">
        <v>0</v>
      </c>
      <c r="RN55" s="17">
        <v>0</v>
      </c>
      <c r="RO55" s="17"/>
      <c r="RP55" s="17">
        <v>0</v>
      </c>
      <c r="RQ55" s="17">
        <v>0</v>
      </c>
      <c r="RR55" s="17">
        <v>0</v>
      </c>
      <c r="RS55" s="17">
        <v>1</v>
      </c>
      <c r="RT55" s="17">
        <v>0</v>
      </c>
      <c r="RU55" s="17">
        <v>1</v>
      </c>
      <c r="RV55" s="17">
        <v>0</v>
      </c>
      <c r="RW55" s="17">
        <v>1</v>
      </c>
      <c r="RX55" s="17">
        <v>1</v>
      </c>
      <c r="RY55" s="17">
        <v>0</v>
      </c>
      <c r="RZ55" s="17"/>
      <c r="SA55" s="17">
        <v>1</v>
      </c>
      <c r="SB55" s="17">
        <v>0</v>
      </c>
      <c r="SC55" s="17">
        <v>0</v>
      </c>
      <c r="SD55" s="17">
        <v>1</v>
      </c>
      <c r="SE55" s="17">
        <v>1</v>
      </c>
      <c r="SF55" s="17"/>
      <c r="SG55" s="17">
        <v>1</v>
      </c>
      <c r="SH55" s="17"/>
      <c r="SI55" s="17">
        <v>10056</v>
      </c>
      <c r="SJ55" s="19">
        <f t="shared" si="3"/>
        <v>109</v>
      </c>
      <c r="SK55" s="19">
        <f t="shared" si="4"/>
        <v>144</v>
      </c>
      <c r="SL55" s="19">
        <f t="shared" si="5"/>
        <v>35</v>
      </c>
      <c r="SM55" s="9">
        <v>10056</v>
      </c>
      <c r="SN55" s="9" t="s">
        <v>504</v>
      </c>
      <c r="SO55" s="10">
        <v>1</v>
      </c>
      <c r="SP55" s="9">
        <v>2</v>
      </c>
      <c r="SQ55" s="11" t="s">
        <v>517</v>
      </c>
      <c r="SR55" s="9">
        <v>15</v>
      </c>
      <c r="SS55" s="28">
        <v>31.5</v>
      </c>
      <c r="ST55" s="28">
        <v>15</v>
      </c>
      <c r="SU55" s="28">
        <v>147</v>
      </c>
      <c r="SV55" s="28">
        <v>52</v>
      </c>
      <c r="SW55" s="28">
        <v>37</v>
      </c>
      <c r="SX55" s="28">
        <v>74</v>
      </c>
      <c r="SY55" s="29">
        <v>30</v>
      </c>
      <c r="SZ55" s="30">
        <v>25</v>
      </c>
      <c r="TA55" s="31">
        <v>24</v>
      </c>
      <c r="TB55" s="31">
        <v>70</v>
      </c>
    </row>
    <row r="56" spans="1:522" ht="15.75" customHeight="1" x14ac:dyDescent="0.2">
      <c r="A56" s="17">
        <v>10057</v>
      </c>
      <c r="B56" s="17" t="s">
        <v>501</v>
      </c>
      <c r="C56" s="17" t="s">
        <v>502</v>
      </c>
      <c r="D56" s="17" t="s">
        <v>512</v>
      </c>
      <c r="E56" s="17" t="s">
        <v>509</v>
      </c>
      <c r="F56" s="18">
        <v>38071</v>
      </c>
      <c r="G56" s="18">
        <v>38563</v>
      </c>
      <c r="H56" s="14">
        <f t="shared" si="2"/>
        <v>16</v>
      </c>
      <c r="I56" s="17" t="s">
        <v>505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/>
      <c r="P56" s="17"/>
      <c r="Q56" s="17">
        <v>1</v>
      </c>
      <c r="R56" s="17"/>
      <c r="S56" s="17">
        <v>1</v>
      </c>
      <c r="T56" s="17">
        <v>1</v>
      </c>
      <c r="U56" s="17">
        <v>1</v>
      </c>
      <c r="V56" s="17">
        <v>1</v>
      </c>
      <c r="W56" s="17">
        <v>1</v>
      </c>
      <c r="X56" s="17"/>
      <c r="Y56" s="17">
        <v>1</v>
      </c>
      <c r="Z56" s="17">
        <v>1</v>
      </c>
      <c r="AA56" s="17">
        <v>1</v>
      </c>
      <c r="AB56" s="17">
        <v>1</v>
      </c>
      <c r="AC56" s="17">
        <v>1</v>
      </c>
      <c r="AD56" s="17"/>
      <c r="AE56" s="17">
        <v>1</v>
      </c>
      <c r="AF56" s="17">
        <v>1</v>
      </c>
      <c r="AG56" s="17"/>
      <c r="AH56" s="17">
        <v>1</v>
      </c>
      <c r="AI56" s="17"/>
      <c r="AJ56" s="17">
        <v>1</v>
      </c>
      <c r="AK56" s="17"/>
      <c r="AL56" s="17"/>
      <c r="AM56" s="17"/>
      <c r="AN56" s="17">
        <v>1</v>
      </c>
      <c r="AO56" s="17" t="s">
        <v>506</v>
      </c>
      <c r="AP56" s="17" t="s">
        <v>508</v>
      </c>
      <c r="AQ56" s="17">
        <v>1</v>
      </c>
      <c r="AR56" s="17">
        <v>2</v>
      </c>
      <c r="AS56" s="17">
        <v>1</v>
      </c>
      <c r="AT56" s="17">
        <v>1</v>
      </c>
      <c r="AU56" s="17">
        <v>1</v>
      </c>
      <c r="AV56" s="17">
        <v>2</v>
      </c>
      <c r="AW56" s="17">
        <v>1</v>
      </c>
      <c r="AX56" s="17">
        <v>1</v>
      </c>
      <c r="AY56" s="17">
        <v>2</v>
      </c>
      <c r="AZ56" s="17"/>
      <c r="BA56" s="17">
        <v>1</v>
      </c>
      <c r="BB56" s="17">
        <v>2</v>
      </c>
      <c r="BC56" s="17">
        <v>1</v>
      </c>
      <c r="BD56" s="17">
        <v>1</v>
      </c>
      <c r="BE56" s="17">
        <v>1</v>
      </c>
      <c r="BF56" s="17">
        <v>2</v>
      </c>
      <c r="BG56" s="17"/>
      <c r="BH56" s="17">
        <v>1</v>
      </c>
      <c r="BI56" s="17">
        <v>1</v>
      </c>
      <c r="BJ56" s="17">
        <v>2</v>
      </c>
      <c r="BK56" s="17">
        <v>1</v>
      </c>
      <c r="BL56" s="17">
        <v>1</v>
      </c>
      <c r="BM56" s="17"/>
      <c r="BN56" s="17">
        <v>2</v>
      </c>
      <c r="BO56" s="17"/>
      <c r="BP56" s="17">
        <v>1</v>
      </c>
      <c r="BQ56" s="17">
        <v>1</v>
      </c>
      <c r="BR56" s="17">
        <v>1</v>
      </c>
      <c r="BS56" s="17">
        <v>1</v>
      </c>
      <c r="BT56" s="17">
        <v>1</v>
      </c>
      <c r="BU56" s="17">
        <v>1</v>
      </c>
      <c r="BV56" s="17">
        <v>1</v>
      </c>
      <c r="BW56" s="17">
        <v>2</v>
      </c>
      <c r="BX56" s="17">
        <v>1</v>
      </c>
      <c r="BY56" s="17">
        <v>1</v>
      </c>
      <c r="BZ56" s="17">
        <v>1</v>
      </c>
      <c r="CA56" s="17">
        <v>1</v>
      </c>
      <c r="CB56" s="17">
        <v>2</v>
      </c>
      <c r="CC56" s="17"/>
      <c r="CD56" s="17">
        <v>1</v>
      </c>
      <c r="CE56" s="17">
        <v>1</v>
      </c>
      <c r="CF56" s="17">
        <v>2</v>
      </c>
      <c r="CG56" s="17">
        <v>1</v>
      </c>
      <c r="CH56" s="17"/>
      <c r="CI56" s="17">
        <v>1</v>
      </c>
      <c r="CJ56" s="17">
        <v>1</v>
      </c>
      <c r="CK56" s="17"/>
      <c r="CL56" s="17">
        <v>1</v>
      </c>
      <c r="CM56" s="17">
        <v>2</v>
      </c>
      <c r="CN56" s="17">
        <v>1</v>
      </c>
      <c r="CO56" s="17"/>
      <c r="CP56" s="17">
        <v>2</v>
      </c>
      <c r="CQ56" s="17">
        <v>1</v>
      </c>
      <c r="CR56" s="17">
        <v>1</v>
      </c>
      <c r="CS56" s="17">
        <v>1</v>
      </c>
      <c r="CT56" s="17">
        <v>2</v>
      </c>
      <c r="CU56" s="17">
        <v>1</v>
      </c>
      <c r="CV56" s="17">
        <v>2</v>
      </c>
      <c r="CW56" s="17">
        <v>1</v>
      </c>
      <c r="CX56" s="17">
        <v>1</v>
      </c>
      <c r="CY56" s="17">
        <v>2</v>
      </c>
      <c r="CZ56" s="17">
        <v>2</v>
      </c>
      <c r="DA56" s="17">
        <v>1</v>
      </c>
      <c r="DB56" s="17"/>
      <c r="DC56" s="17">
        <v>1</v>
      </c>
      <c r="DD56" s="17">
        <v>2</v>
      </c>
      <c r="DE56" s="17">
        <v>2</v>
      </c>
      <c r="DF56" s="17">
        <v>1</v>
      </c>
      <c r="DG56" s="17">
        <v>1</v>
      </c>
      <c r="DH56" s="17">
        <v>1</v>
      </c>
      <c r="DI56" s="17"/>
      <c r="DJ56" s="17">
        <v>1</v>
      </c>
      <c r="DK56" s="17"/>
      <c r="DL56" s="17">
        <v>1</v>
      </c>
      <c r="DM56" s="17"/>
      <c r="DN56" s="17"/>
      <c r="DO56" s="17"/>
      <c r="DP56" s="17">
        <v>1</v>
      </c>
      <c r="DQ56" s="17">
        <v>1</v>
      </c>
      <c r="DR56" s="17">
        <v>1</v>
      </c>
      <c r="DS56" s="17">
        <v>1</v>
      </c>
      <c r="DT56" s="17"/>
      <c r="DU56" s="17">
        <v>1</v>
      </c>
      <c r="DV56" s="17">
        <v>1</v>
      </c>
      <c r="DW56" s="17">
        <v>1</v>
      </c>
      <c r="DX56" s="17"/>
      <c r="DY56" s="17">
        <v>2</v>
      </c>
      <c r="DZ56" s="17">
        <v>1</v>
      </c>
      <c r="EA56" s="17">
        <v>1</v>
      </c>
      <c r="EB56" s="17"/>
      <c r="EC56" s="17">
        <v>2</v>
      </c>
      <c r="ED56" s="17"/>
      <c r="EE56" s="17"/>
      <c r="EF56" s="17">
        <v>1</v>
      </c>
      <c r="EG56" s="17">
        <v>2</v>
      </c>
      <c r="EH56" s="17"/>
      <c r="EI56" s="17">
        <v>1</v>
      </c>
      <c r="EJ56" s="17"/>
      <c r="EK56" s="17">
        <v>1</v>
      </c>
      <c r="EL56" s="17">
        <v>1</v>
      </c>
      <c r="EM56" s="17">
        <v>1</v>
      </c>
      <c r="EN56" s="17"/>
      <c r="EO56" s="17">
        <v>2</v>
      </c>
      <c r="EP56" s="17"/>
      <c r="EQ56" s="17"/>
      <c r="ER56" s="17">
        <v>1</v>
      </c>
      <c r="ES56" s="17">
        <v>1</v>
      </c>
      <c r="ET56" s="17">
        <v>1</v>
      </c>
      <c r="EU56" s="17">
        <v>1</v>
      </c>
      <c r="EV56" s="17">
        <v>2</v>
      </c>
      <c r="EW56" s="17">
        <v>1</v>
      </c>
      <c r="EX56" s="17">
        <v>2</v>
      </c>
      <c r="EY56" s="17"/>
      <c r="EZ56" s="17">
        <v>1</v>
      </c>
      <c r="FA56" s="17">
        <v>1</v>
      </c>
      <c r="FB56" s="17">
        <v>1</v>
      </c>
      <c r="FC56" s="17"/>
      <c r="FD56" s="17">
        <v>1</v>
      </c>
      <c r="FE56" s="17"/>
      <c r="FF56" s="17">
        <v>1</v>
      </c>
      <c r="FG56" s="17">
        <v>1</v>
      </c>
      <c r="FH56" s="17"/>
      <c r="FI56" s="17">
        <v>2</v>
      </c>
      <c r="FJ56" s="17">
        <v>1</v>
      </c>
      <c r="FK56" s="17">
        <v>1</v>
      </c>
      <c r="FL56" s="17">
        <v>1</v>
      </c>
      <c r="FM56" s="17"/>
      <c r="FN56" s="17">
        <v>1</v>
      </c>
      <c r="FO56" s="17">
        <v>2</v>
      </c>
      <c r="FP56" s="17">
        <v>1</v>
      </c>
      <c r="FQ56" s="17"/>
      <c r="FR56" s="17">
        <v>2</v>
      </c>
      <c r="FS56" s="17">
        <v>1</v>
      </c>
      <c r="FT56" s="17">
        <v>1</v>
      </c>
      <c r="FU56" s="17">
        <v>1</v>
      </c>
      <c r="FV56" s="17">
        <v>2</v>
      </c>
      <c r="FW56" s="17">
        <v>1</v>
      </c>
      <c r="FX56" s="17">
        <v>1</v>
      </c>
      <c r="FY56" s="17">
        <v>1</v>
      </c>
      <c r="FZ56" s="17"/>
      <c r="GA56" s="17">
        <v>1</v>
      </c>
      <c r="GB56" s="17">
        <v>1</v>
      </c>
      <c r="GC56" s="17">
        <v>1</v>
      </c>
      <c r="GD56" s="17">
        <v>2</v>
      </c>
      <c r="GE56" s="17">
        <v>1</v>
      </c>
      <c r="GF56" s="17">
        <v>1</v>
      </c>
      <c r="GG56" s="17">
        <v>1</v>
      </c>
      <c r="GH56" s="17">
        <v>1</v>
      </c>
      <c r="GI56" s="17">
        <v>1</v>
      </c>
      <c r="GJ56" s="17">
        <v>1</v>
      </c>
      <c r="GK56" s="17">
        <v>1</v>
      </c>
      <c r="GL56" s="17"/>
      <c r="GM56" s="17"/>
      <c r="GN56" s="17">
        <v>1</v>
      </c>
      <c r="GO56" s="17"/>
      <c r="GP56" s="17">
        <v>1</v>
      </c>
      <c r="GQ56" s="17">
        <v>2</v>
      </c>
      <c r="GR56" s="17">
        <v>1</v>
      </c>
      <c r="GS56" s="17">
        <v>1</v>
      </c>
      <c r="GT56" s="17"/>
      <c r="GU56" s="17"/>
      <c r="GV56" s="17"/>
      <c r="GW56" s="17">
        <v>1</v>
      </c>
      <c r="GX56" s="17">
        <v>2</v>
      </c>
      <c r="GY56" s="17">
        <v>1</v>
      </c>
      <c r="GZ56" s="17">
        <v>1</v>
      </c>
      <c r="HA56" s="17">
        <v>1</v>
      </c>
      <c r="HB56" s="17">
        <v>1</v>
      </c>
      <c r="HC56" s="17">
        <v>1</v>
      </c>
      <c r="HD56" s="17"/>
      <c r="HE56" s="17">
        <v>1</v>
      </c>
      <c r="HF56" s="17">
        <v>1</v>
      </c>
      <c r="HG56" s="17">
        <v>1</v>
      </c>
      <c r="HH56" s="17">
        <v>1</v>
      </c>
      <c r="HI56" s="17">
        <v>1</v>
      </c>
      <c r="HJ56" s="17">
        <v>1</v>
      </c>
      <c r="HK56" s="17">
        <v>1</v>
      </c>
      <c r="HL56" s="17">
        <v>1</v>
      </c>
      <c r="HM56" s="17"/>
      <c r="HN56" s="17">
        <v>1</v>
      </c>
      <c r="HO56" s="17">
        <v>1</v>
      </c>
      <c r="HP56" s="17">
        <v>1</v>
      </c>
      <c r="HQ56" s="17">
        <v>1</v>
      </c>
      <c r="HR56" s="17">
        <v>1</v>
      </c>
      <c r="HS56" s="17">
        <v>1</v>
      </c>
      <c r="HT56" s="17"/>
      <c r="HU56" s="17">
        <v>1</v>
      </c>
      <c r="HV56" s="17"/>
      <c r="HW56" s="17">
        <v>1</v>
      </c>
      <c r="HX56" s="17">
        <v>1</v>
      </c>
      <c r="HY56" s="17">
        <v>1</v>
      </c>
      <c r="HZ56" s="17">
        <v>1</v>
      </c>
      <c r="IA56" s="17">
        <v>2</v>
      </c>
      <c r="IB56" s="17">
        <v>1</v>
      </c>
      <c r="IC56" s="17">
        <v>1</v>
      </c>
      <c r="ID56" s="17"/>
      <c r="IE56" s="17"/>
      <c r="IF56" s="17">
        <v>1</v>
      </c>
      <c r="IG56" s="17">
        <v>1</v>
      </c>
      <c r="IH56" s="17">
        <v>1</v>
      </c>
      <c r="II56" s="17">
        <v>1</v>
      </c>
      <c r="IJ56" s="17">
        <v>2</v>
      </c>
      <c r="IK56" s="17">
        <v>1</v>
      </c>
      <c r="IL56" s="17">
        <v>1</v>
      </c>
      <c r="IM56" s="17"/>
      <c r="IN56" s="17"/>
      <c r="IO56" s="17">
        <v>1</v>
      </c>
      <c r="IP56" s="17">
        <v>1</v>
      </c>
      <c r="IQ56" s="17"/>
      <c r="IR56" s="17">
        <v>1</v>
      </c>
      <c r="IS56" s="17">
        <v>1</v>
      </c>
      <c r="IT56" s="17">
        <v>1</v>
      </c>
      <c r="IU56" s="17"/>
      <c r="IV56" s="17">
        <v>2</v>
      </c>
      <c r="IW56" s="17">
        <v>1</v>
      </c>
      <c r="IX56" s="17">
        <v>1</v>
      </c>
      <c r="IY56" s="17">
        <v>1</v>
      </c>
      <c r="IZ56" s="17">
        <v>2</v>
      </c>
      <c r="JA56" s="17">
        <v>2</v>
      </c>
      <c r="JB56" s="17"/>
      <c r="JC56" s="17">
        <v>1</v>
      </c>
      <c r="JD56" s="17"/>
      <c r="JE56" s="17">
        <v>2</v>
      </c>
      <c r="JF56" s="17"/>
      <c r="JG56" s="17"/>
      <c r="JH56" s="17"/>
      <c r="JI56" s="17"/>
      <c r="JJ56" s="17"/>
      <c r="JK56" s="17">
        <v>2</v>
      </c>
      <c r="JL56" s="17"/>
      <c r="JM56" s="17"/>
      <c r="JN56" s="17"/>
      <c r="JO56" s="17"/>
      <c r="JP56" s="17"/>
      <c r="JQ56" s="17">
        <v>2</v>
      </c>
      <c r="JR56" s="17">
        <v>1</v>
      </c>
      <c r="JS56" s="17">
        <v>1</v>
      </c>
      <c r="JT56" s="17">
        <v>1</v>
      </c>
      <c r="JU56" s="17">
        <v>1</v>
      </c>
      <c r="JV56" s="17"/>
      <c r="JW56" s="17"/>
      <c r="JX56" s="17">
        <v>1</v>
      </c>
      <c r="JY56" s="17">
        <v>1</v>
      </c>
      <c r="JZ56" s="17">
        <v>2</v>
      </c>
      <c r="KA56" s="17">
        <v>1</v>
      </c>
      <c r="KB56" s="17">
        <v>1</v>
      </c>
      <c r="KC56" s="17">
        <v>2</v>
      </c>
      <c r="KD56" s="17">
        <v>2</v>
      </c>
      <c r="KE56" s="17">
        <v>1</v>
      </c>
      <c r="KF56" s="17">
        <v>1</v>
      </c>
      <c r="KG56" s="17">
        <v>1</v>
      </c>
      <c r="KH56" s="17">
        <v>1</v>
      </c>
      <c r="KI56" s="17"/>
      <c r="KJ56" s="17">
        <v>2</v>
      </c>
      <c r="KK56" s="17">
        <v>2</v>
      </c>
      <c r="KL56" s="17">
        <v>1</v>
      </c>
      <c r="KM56" s="17">
        <v>2</v>
      </c>
      <c r="KN56" s="17">
        <v>1</v>
      </c>
      <c r="KO56" s="17">
        <v>1</v>
      </c>
      <c r="KP56" s="17">
        <v>1</v>
      </c>
      <c r="KQ56" s="17">
        <v>1</v>
      </c>
      <c r="KR56" s="17">
        <v>1</v>
      </c>
      <c r="KS56" s="17"/>
      <c r="KT56" s="17">
        <v>1</v>
      </c>
      <c r="KU56" s="17"/>
      <c r="KV56" s="17"/>
      <c r="KW56" s="17">
        <v>1</v>
      </c>
      <c r="KX56" s="17">
        <v>1</v>
      </c>
      <c r="KY56" s="17">
        <v>1</v>
      </c>
      <c r="KZ56" s="17"/>
      <c r="LA56" s="17">
        <v>1</v>
      </c>
      <c r="LB56" s="17"/>
      <c r="LC56" s="17">
        <v>1</v>
      </c>
      <c r="LD56" s="17">
        <v>1</v>
      </c>
      <c r="LE56" s="17">
        <v>1</v>
      </c>
      <c r="LF56" s="17"/>
      <c r="LG56" s="17">
        <v>1</v>
      </c>
      <c r="LH56" s="17">
        <v>1</v>
      </c>
      <c r="LI56" s="17">
        <v>1</v>
      </c>
      <c r="LJ56" s="17"/>
      <c r="LK56" s="17">
        <v>1</v>
      </c>
      <c r="LL56" s="17">
        <v>1</v>
      </c>
      <c r="LM56" s="17">
        <v>1</v>
      </c>
      <c r="LN56" s="17">
        <v>1</v>
      </c>
      <c r="LO56" s="17">
        <v>1</v>
      </c>
      <c r="LP56" s="17">
        <v>1</v>
      </c>
      <c r="LQ56" s="17">
        <v>1</v>
      </c>
      <c r="LR56" s="17">
        <v>1</v>
      </c>
      <c r="LS56" s="17">
        <v>1</v>
      </c>
      <c r="LT56" s="17">
        <v>1</v>
      </c>
      <c r="LU56" s="17">
        <v>1</v>
      </c>
      <c r="LV56" s="17">
        <v>1</v>
      </c>
      <c r="LW56" s="17">
        <v>1</v>
      </c>
      <c r="LX56" s="17">
        <v>1</v>
      </c>
      <c r="LY56" s="17">
        <v>1</v>
      </c>
      <c r="LZ56" s="17">
        <v>1</v>
      </c>
      <c r="MA56" s="17">
        <v>1</v>
      </c>
      <c r="MB56" s="17">
        <v>1</v>
      </c>
      <c r="MC56" s="17">
        <v>1</v>
      </c>
      <c r="MD56" s="17">
        <v>1</v>
      </c>
      <c r="ME56" s="17">
        <v>1</v>
      </c>
      <c r="MF56" s="17">
        <v>1</v>
      </c>
      <c r="MG56" s="17">
        <v>1</v>
      </c>
      <c r="MH56" s="17">
        <v>1</v>
      </c>
      <c r="MI56" s="17"/>
      <c r="MJ56" s="17">
        <v>1</v>
      </c>
      <c r="MK56" s="17">
        <v>1</v>
      </c>
      <c r="ML56" s="17">
        <v>1</v>
      </c>
      <c r="MM56" s="17">
        <v>1</v>
      </c>
      <c r="MN56" s="17">
        <v>1</v>
      </c>
      <c r="MO56" s="17">
        <v>1</v>
      </c>
      <c r="MP56" s="17">
        <v>1</v>
      </c>
      <c r="MQ56" s="17">
        <v>1</v>
      </c>
      <c r="MR56" s="17">
        <v>1</v>
      </c>
      <c r="MS56" s="17"/>
      <c r="MT56" s="17"/>
      <c r="MU56" s="17">
        <v>1</v>
      </c>
      <c r="MV56" s="17"/>
      <c r="MW56" s="17"/>
      <c r="MX56" s="17">
        <v>1</v>
      </c>
      <c r="MY56" s="17"/>
      <c r="MZ56" s="17"/>
      <c r="NA56" s="17"/>
      <c r="NB56" s="17">
        <v>1</v>
      </c>
      <c r="NC56" s="17"/>
      <c r="ND56" s="17">
        <v>1</v>
      </c>
      <c r="NE56" s="17">
        <v>1</v>
      </c>
      <c r="NF56" s="17"/>
      <c r="NG56" s="17"/>
      <c r="NH56" s="17">
        <v>1</v>
      </c>
      <c r="NI56" s="17"/>
      <c r="NJ56" s="17">
        <v>1</v>
      </c>
      <c r="NK56" s="17"/>
      <c r="NL56" s="17">
        <v>1</v>
      </c>
      <c r="NM56" s="17"/>
      <c r="NN56" s="17"/>
      <c r="NO56" s="17">
        <v>1</v>
      </c>
      <c r="NP56" s="17">
        <v>1</v>
      </c>
      <c r="NQ56" s="17"/>
      <c r="NR56" s="17">
        <v>1</v>
      </c>
      <c r="NS56" s="17">
        <v>1</v>
      </c>
      <c r="NT56" s="17">
        <v>1</v>
      </c>
      <c r="NU56" s="17"/>
      <c r="NV56" s="17">
        <v>1</v>
      </c>
      <c r="NW56" s="17">
        <v>1</v>
      </c>
      <c r="NX56" s="17"/>
      <c r="NY56" s="17">
        <v>1</v>
      </c>
      <c r="NZ56" s="17"/>
      <c r="OA56" s="17"/>
      <c r="OB56" s="17"/>
      <c r="OC56" s="17"/>
      <c r="OD56" s="17"/>
      <c r="OE56" s="17"/>
      <c r="OF56" s="17"/>
      <c r="OG56" s="17">
        <v>1</v>
      </c>
      <c r="OH56" s="17">
        <v>1</v>
      </c>
      <c r="OI56" s="17">
        <v>1</v>
      </c>
      <c r="OJ56" s="17">
        <v>1</v>
      </c>
      <c r="OK56" s="17">
        <v>1</v>
      </c>
      <c r="OL56" s="17">
        <v>1</v>
      </c>
      <c r="OM56" s="17"/>
      <c r="ON56" s="17"/>
      <c r="OO56" s="17">
        <v>1</v>
      </c>
      <c r="OP56" s="17"/>
      <c r="OQ56" s="17">
        <v>1</v>
      </c>
      <c r="OR56" s="17"/>
      <c r="OS56" s="17"/>
      <c r="OT56" s="17">
        <v>1</v>
      </c>
      <c r="OU56" s="17">
        <v>1</v>
      </c>
      <c r="OV56" s="17">
        <v>1</v>
      </c>
      <c r="OW56" s="17">
        <v>1</v>
      </c>
      <c r="OX56" s="17"/>
      <c r="OY56" s="17">
        <v>1</v>
      </c>
      <c r="OZ56" s="17"/>
      <c r="PA56" s="17">
        <v>1</v>
      </c>
      <c r="PB56" s="17"/>
      <c r="PC56" s="17"/>
      <c r="PD56" s="17"/>
      <c r="PE56" s="17">
        <v>1</v>
      </c>
      <c r="PF56" s="17">
        <v>1</v>
      </c>
      <c r="PG56" s="17">
        <v>1</v>
      </c>
      <c r="PH56" s="17">
        <v>1</v>
      </c>
      <c r="PI56" s="17">
        <v>1</v>
      </c>
      <c r="PJ56" s="17">
        <v>1</v>
      </c>
      <c r="PK56" s="17">
        <v>1</v>
      </c>
      <c r="PL56" s="17">
        <v>1</v>
      </c>
      <c r="PM56" s="17">
        <v>1</v>
      </c>
      <c r="PN56" s="17">
        <v>1</v>
      </c>
      <c r="PO56" s="17"/>
      <c r="PP56" s="17">
        <v>1</v>
      </c>
      <c r="PQ56" s="17">
        <v>1</v>
      </c>
      <c r="PR56" s="17"/>
      <c r="PS56" s="17">
        <v>1</v>
      </c>
      <c r="PT56" s="17"/>
      <c r="PU56" s="17"/>
      <c r="PV56" s="17">
        <v>1</v>
      </c>
      <c r="PW56" s="17" t="s">
        <v>506</v>
      </c>
      <c r="PX56" s="17" t="s">
        <v>506</v>
      </c>
      <c r="PY56" s="17" t="s">
        <v>506</v>
      </c>
      <c r="PZ56" s="17" t="s">
        <v>506</v>
      </c>
      <c r="QA56" s="17" t="s">
        <v>506</v>
      </c>
      <c r="QB56" s="17" t="s">
        <v>507</v>
      </c>
      <c r="QC56" s="17" t="s">
        <v>507</v>
      </c>
      <c r="QD56" s="17" t="s">
        <v>508</v>
      </c>
      <c r="QE56" s="17" t="s">
        <v>507</v>
      </c>
      <c r="QF56" s="17" t="s">
        <v>508</v>
      </c>
      <c r="QG56" s="17" t="s">
        <v>507</v>
      </c>
      <c r="QH56" s="17" t="s">
        <v>507</v>
      </c>
      <c r="QI56" s="17">
        <v>1</v>
      </c>
      <c r="QJ56" s="17">
        <v>0</v>
      </c>
      <c r="QK56" s="17">
        <v>1</v>
      </c>
      <c r="QL56" s="17">
        <v>1</v>
      </c>
      <c r="QM56" s="17">
        <v>0</v>
      </c>
      <c r="QN56" s="17">
        <v>1</v>
      </c>
      <c r="QO56" s="17">
        <v>0</v>
      </c>
      <c r="QP56" s="17">
        <v>1</v>
      </c>
      <c r="QQ56" s="17">
        <v>1</v>
      </c>
      <c r="QR56" s="17">
        <v>1</v>
      </c>
      <c r="QS56" s="17">
        <v>0</v>
      </c>
      <c r="QT56" s="17">
        <v>1</v>
      </c>
      <c r="QU56" s="17">
        <v>0</v>
      </c>
      <c r="QV56" s="17">
        <v>1</v>
      </c>
      <c r="QW56" s="17">
        <v>1</v>
      </c>
      <c r="QX56" s="17">
        <v>0</v>
      </c>
      <c r="QY56" s="17">
        <v>0</v>
      </c>
      <c r="QZ56" s="17">
        <v>1</v>
      </c>
      <c r="RA56" s="17">
        <v>1</v>
      </c>
      <c r="RB56" s="17">
        <v>1</v>
      </c>
      <c r="RC56" s="17">
        <v>1</v>
      </c>
      <c r="RD56" s="17">
        <v>0</v>
      </c>
      <c r="RE56" s="17">
        <v>0</v>
      </c>
      <c r="RF56" s="17">
        <v>0</v>
      </c>
      <c r="RG56" s="17">
        <v>0</v>
      </c>
      <c r="RH56" s="17">
        <v>0</v>
      </c>
      <c r="RI56" s="17">
        <v>0</v>
      </c>
      <c r="RJ56" s="17">
        <v>0</v>
      </c>
      <c r="RK56" s="17">
        <v>0</v>
      </c>
      <c r="RL56" s="17">
        <v>0</v>
      </c>
      <c r="RM56" s="17">
        <v>0</v>
      </c>
      <c r="RN56" s="17">
        <v>1</v>
      </c>
      <c r="RO56" s="17">
        <v>0</v>
      </c>
      <c r="RP56" s="17">
        <v>0</v>
      </c>
      <c r="RQ56" s="17">
        <v>1</v>
      </c>
      <c r="RR56" s="17">
        <v>0</v>
      </c>
      <c r="RS56" s="17">
        <v>0</v>
      </c>
      <c r="RT56" s="17">
        <v>0</v>
      </c>
      <c r="RU56" s="17">
        <v>1</v>
      </c>
      <c r="RV56" s="17">
        <v>0</v>
      </c>
      <c r="RW56" s="17">
        <v>0</v>
      </c>
      <c r="RX56" s="17">
        <v>1</v>
      </c>
      <c r="RY56" s="17">
        <v>0</v>
      </c>
      <c r="RZ56" s="17">
        <v>0</v>
      </c>
      <c r="SA56" s="17">
        <v>1</v>
      </c>
      <c r="SB56" s="17">
        <v>1</v>
      </c>
      <c r="SC56" s="17">
        <v>0</v>
      </c>
      <c r="SD56" s="17">
        <v>0</v>
      </c>
      <c r="SE56" s="17">
        <v>1</v>
      </c>
      <c r="SF56" s="17">
        <v>1</v>
      </c>
      <c r="SG56" s="17">
        <v>1</v>
      </c>
      <c r="SH56" s="17">
        <v>1</v>
      </c>
      <c r="SI56" s="17">
        <v>10057</v>
      </c>
      <c r="SJ56" s="19">
        <f t="shared" si="3"/>
        <v>243</v>
      </c>
      <c r="SK56" s="19">
        <f t="shared" si="4"/>
        <v>288</v>
      </c>
      <c r="SL56" s="19">
        <f t="shared" si="5"/>
        <v>45</v>
      </c>
      <c r="SM56" s="9">
        <v>10057</v>
      </c>
      <c r="SN56" s="9" t="s">
        <v>509</v>
      </c>
      <c r="SO56" s="10">
        <v>2</v>
      </c>
      <c r="SP56" s="9">
        <v>2</v>
      </c>
      <c r="SQ56" s="11" t="s">
        <v>515</v>
      </c>
      <c r="SR56" s="9">
        <v>16</v>
      </c>
      <c r="SS56" s="28">
        <v>63</v>
      </c>
      <c r="ST56" s="28">
        <v>16</v>
      </c>
      <c r="SU56" s="28">
        <v>289</v>
      </c>
      <c r="SV56" s="28">
        <v>79</v>
      </c>
      <c r="SW56" s="28">
        <v>45</v>
      </c>
      <c r="SX56" s="28">
        <v>53</v>
      </c>
      <c r="SY56" s="29">
        <v>33</v>
      </c>
      <c r="SZ56" s="30">
        <v>15</v>
      </c>
      <c r="TA56" s="31">
        <v>19</v>
      </c>
      <c r="TB56" s="31">
        <v>25</v>
      </c>
    </row>
    <row r="57" spans="1:522" ht="15.75" customHeight="1" x14ac:dyDescent="0.2">
      <c r="A57" s="17">
        <v>10058</v>
      </c>
      <c r="B57" s="17" t="s">
        <v>501</v>
      </c>
      <c r="C57" s="17" t="s">
        <v>502</v>
      </c>
      <c r="D57" s="17" t="s">
        <v>512</v>
      </c>
      <c r="E57" s="17" t="s">
        <v>504</v>
      </c>
      <c r="F57" s="18">
        <v>38062</v>
      </c>
      <c r="G57" s="18">
        <v>38537</v>
      </c>
      <c r="H57" s="14">
        <f t="shared" si="2"/>
        <v>15</v>
      </c>
      <c r="I57" s="17" t="s">
        <v>505</v>
      </c>
      <c r="J57" s="17">
        <v>1</v>
      </c>
      <c r="K57" s="17">
        <v>1</v>
      </c>
      <c r="L57" s="17">
        <v>1</v>
      </c>
      <c r="M57" s="17">
        <v>1</v>
      </c>
      <c r="N57" s="17"/>
      <c r="O57" s="17">
        <v>1</v>
      </c>
      <c r="P57" s="17">
        <v>1</v>
      </c>
      <c r="Q57" s="17">
        <v>1</v>
      </c>
      <c r="R57" s="17"/>
      <c r="S57" s="17"/>
      <c r="T57" s="17">
        <v>1</v>
      </c>
      <c r="U57" s="17"/>
      <c r="V57" s="17">
        <v>1</v>
      </c>
      <c r="W57" s="17">
        <v>1</v>
      </c>
      <c r="X57" s="17">
        <v>1</v>
      </c>
      <c r="Y57" s="17">
        <v>1</v>
      </c>
      <c r="Z57" s="17">
        <v>1</v>
      </c>
      <c r="AA57" s="17"/>
      <c r="AB57" s="17">
        <v>1</v>
      </c>
      <c r="AC57" s="17"/>
      <c r="AD57" s="17">
        <v>1</v>
      </c>
      <c r="AE57" s="17">
        <v>1</v>
      </c>
      <c r="AF57" s="17">
        <v>1</v>
      </c>
      <c r="AG57" s="17"/>
      <c r="AH57" s="17">
        <v>1</v>
      </c>
      <c r="AI57" s="17"/>
      <c r="AJ57" s="17"/>
      <c r="AK57" s="17"/>
      <c r="AL57" s="17">
        <v>1</v>
      </c>
      <c r="AM57" s="17">
        <v>1</v>
      </c>
      <c r="AN57" s="17"/>
      <c r="AO57" s="17"/>
      <c r="AP57" s="17" t="s">
        <v>507</v>
      </c>
      <c r="AQ57" s="17">
        <v>1</v>
      </c>
      <c r="AR57" s="17">
        <v>1</v>
      </c>
      <c r="AS57" s="17"/>
      <c r="AT57" s="17"/>
      <c r="AU57" s="17">
        <v>1</v>
      </c>
      <c r="AV57" s="17"/>
      <c r="AW57" s="17"/>
      <c r="AX57" s="17">
        <v>1</v>
      </c>
      <c r="AY57" s="17"/>
      <c r="AZ57" s="17"/>
      <c r="BA57" s="17">
        <v>2</v>
      </c>
      <c r="BB57" s="17"/>
      <c r="BC57" s="17"/>
      <c r="BD57" s="17">
        <v>1</v>
      </c>
      <c r="BE57" s="17"/>
      <c r="BF57" s="17">
        <v>1</v>
      </c>
      <c r="BG57" s="17">
        <v>1</v>
      </c>
      <c r="BH57" s="17"/>
      <c r="BI57" s="17">
        <v>1</v>
      </c>
      <c r="BJ57" s="17">
        <v>1</v>
      </c>
      <c r="BK57" s="17"/>
      <c r="BL57" s="17">
        <v>1</v>
      </c>
      <c r="BM57" s="17"/>
      <c r="BN57" s="17">
        <v>2</v>
      </c>
      <c r="BO57" s="17"/>
      <c r="BP57" s="17">
        <v>1</v>
      </c>
      <c r="BQ57" s="17">
        <v>1</v>
      </c>
      <c r="BR57" s="17">
        <v>2</v>
      </c>
      <c r="BS57" s="17">
        <v>1</v>
      </c>
      <c r="BT57" s="17">
        <v>1</v>
      </c>
      <c r="BU57" s="17"/>
      <c r="BV57" s="17">
        <v>1</v>
      </c>
      <c r="BW57" s="17">
        <v>1</v>
      </c>
      <c r="BX57" s="17"/>
      <c r="BY57" s="17"/>
      <c r="BZ57" s="17"/>
      <c r="CA57" s="17"/>
      <c r="CB57" s="17">
        <v>1</v>
      </c>
      <c r="CC57" s="17"/>
      <c r="CD57" s="17">
        <v>1</v>
      </c>
      <c r="CE57" s="17"/>
      <c r="CF57" s="17">
        <v>1</v>
      </c>
      <c r="CG57" s="17">
        <v>1</v>
      </c>
      <c r="CH57" s="17">
        <v>1</v>
      </c>
      <c r="CI57" s="17">
        <v>1</v>
      </c>
      <c r="CJ57" s="17">
        <v>1</v>
      </c>
      <c r="CK57" s="17">
        <v>1</v>
      </c>
      <c r="CL57" s="17"/>
      <c r="CM57" s="17">
        <v>1</v>
      </c>
      <c r="CN57" s="17">
        <v>1</v>
      </c>
      <c r="CO57" s="17">
        <v>2</v>
      </c>
      <c r="CP57" s="17">
        <v>1</v>
      </c>
      <c r="CQ57" s="17">
        <v>1</v>
      </c>
      <c r="CR57" s="17">
        <v>1</v>
      </c>
      <c r="CS57" s="17">
        <v>1</v>
      </c>
      <c r="CT57" s="17">
        <v>1</v>
      </c>
      <c r="CU57" s="17">
        <v>1</v>
      </c>
      <c r="CV57" s="17">
        <v>1</v>
      </c>
      <c r="CW57" s="17">
        <v>1</v>
      </c>
      <c r="CX57" s="17">
        <v>1</v>
      </c>
      <c r="CY57" s="17"/>
      <c r="CZ57" s="17"/>
      <c r="DA57" s="17"/>
      <c r="DB57" s="17">
        <v>1</v>
      </c>
      <c r="DC57" s="17">
        <v>1</v>
      </c>
      <c r="DD57" s="17"/>
      <c r="DE57" s="17">
        <v>1</v>
      </c>
      <c r="DF57" s="17"/>
      <c r="DG57" s="17"/>
      <c r="DH57" s="17"/>
      <c r="DI57" s="17"/>
      <c r="DJ57" s="17"/>
      <c r="DK57" s="17">
        <v>1</v>
      </c>
      <c r="DL57" s="17"/>
      <c r="DM57" s="17">
        <v>1</v>
      </c>
      <c r="DN57" s="17">
        <v>1</v>
      </c>
      <c r="DO57" s="17"/>
      <c r="DP57" s="17"/>
      <c r="DQ57" s="17">
        <v>2</v>
      </c>
      <c r="DR57" s="17">
        <v>1</v>
      </c>
      <c r="DS57" s="17"/>
      <c r="DT57" s="17"/>
      <c r="DU57" s="17">
        <v>1</v>
      </c>
      <c r="DV57" s="17"/>
      <c r="DW57" s="17"/>
      <c r="DX57" s="17"/>
      <c r="DY57" s="17">
        <v>1</v>
      </c>
      <c r="DZ57" s="17"/>
      <c r="EA57" s="17">
        <v>1</v>
      </c>
      <c r="EB57" s="17"/>
      <c r="EC57" s="17"/>
      <c r="ED57" s="17"/>
      <c r="EE57" s="17"/>
      <c r="EF57" s="17">
        <v>1</v>
      </c>
      <c r="EG57" s="17">
        <v>1</v>
      </c>
      <c r="EH57" s="17"/>
      <c r="EI57" s="17">
        <v>1</v>
      </c>
      <c r="EJ57" s="17"/>
      <c r="EK57" s="17">
        <v>1</v>
      </c>
      <c r="EL57" s="17"/>
      <c r="EM57" s="17">
        <v>1</v>
      </c>
      <c r="EN57" s="17">
        <v>1</v>
      </c>
      <c r="EO57" s="17">
        <v>1</v>
      </c>
      <c r="EP57" s="17"/>
      <c r="EQ57" s="17"/>
      <c r="ER57" s="17"/>
      <c r="ES57" s="17">
        <v>1</v>
      </c>
      <c r="ET57" s="17">
        <v>1</v>
      </c>
      <c r="EU57" s="17">
        <v>1</v>
      </c>
      <c r="EV57" s="17">
        <v>1</v>
      </c>
      <c r="EW57" s="17">
        <v>1</v>
      </c>
      <c r="EX57" s="17">
        <v>1</v>
      </c>
      <c r="EY57" s="17"/>
      <c r="EZ57" s="17">
        <v>1</v>
      </c>
      <c r="FA57" s="17">
        <v>1</v>
      </c>
      <c r="FB57" s="17">
        <v>1</v>
      </c>
      <c r="FC57" s="17"/>
      <c r="FD57" s="17"/>
      <c r="FE57" s="17">
        <v>1</v>
      </c>
      <c r="FF57" s="17"/>
      <c r="FG57" s="17">
        <v>1</v>
      </c>
      <c r="FH57" s="17">
        <v>1</v>
      </c>
      <c r="FI57" s="17">
        <v>1</v>
      </c>
      <c r="FJ57" s="17">
        <v>1</v>
      </c>
      <c r="FK57" s="17">
        <v>1</v>
      </c>
      <c r="FL57" s="17"/>
      <c r="FM57" s="17"/>
      <c r="FN57" s="17"/>
      <c r="FO57" s="17">
        <v>1</v>
      </c>
      <c r="FP57" s="17"/>
      <c r="FQ57" s="17">
        <v>1</v>
      </c>
      <c r="FR57" s="17">
        <v>1</v>
      </c>
      <c r="FS57" s="17">
        <v>1</v>
      </c>
      <c r="FT57" s="17">
        <v>1</v>
      </c>
      <c r="FU57" s="17"/>
      <c r="FV57" s="17">
        <v>1</v>
      </c>
      <c r="FW57" s="17">
        <v>1</v>
      </c>
      <c r="FX57" s="17">
        <v>1</v>
      </c>
      <c r="FY57" s="17">
        <v>1</v>
      </c>
      <c r="FZ57" s="17">
        <v>1</v>
      </c>
      <c r="GA57" s="17">
        <v>1</v>
      </c>
      <c r="GB57" s="17"/>
      <c r="GC57" s="17">
        <v>1</v>
      </c>
      <c r="GD57" s="17"/>
      <c r="GE57" s="17">
        <v>1</v>
      </c>
      <c r="GF57" s="17"/>
      <c r="GG57" s="17">
        <v>1</v>
      </c>
      <c r="GH57" s="17"/>
      <c r="GI57" s="17">
        <v>1</v>
      </c>
      <c r="GJ57" s="17"/>
      <c r="GK57" s="17">
        <v>2</v>
      </c>
      <c r="GL57" s="17"/>
      <c r="GM57" s="17"/>
      <c r="GN57" s="17"/>
      <c r="GO57" s="17"/>
      <c r="GP57" s="17"/>
      <c r="GQ57" s="17"/>
      <c r="GR57" s="17"/>
      <c r="GS57" s="17">
        <v>1</v>
      </c>
      <c r="GT57" s="17"/>
      <c r="GU57" s="17"/>
      <c r="GV57" s="17"/>
      <c r="GW57" s="17">
        <v>1</v>
      </c>
      <c r="GX57" s="17">
        <v>1</v>
      </c>
      <c r="GY57" s="17">
        <v>1</v>
      </c>
      <c r="GZ57" s="17">
        <v>1</v>
      </c>
      <c r="HA57" s="17">
        <v>1</v>
      </c>
      <c r="HB57" s="17">
        <v>1</v>
      </c>
      <c r="HC57" s="17"/>
      <c r="HD57" s="17"/>
      <c r="HE57" s="17">
        <v>1</v>
      </c>
      <c r="HF57" s="17">
        <v>1</v>
      </c>
      <c r="HG57" s="17">
        <v>1</v>
      </c>
      <c r="HH57" s="17">
        <v>1</v>
      </c>
      <c r="HI57" s="17">
        <v>1</v>
      </c>
      <c r="HJ57" s="17"/>
      <c r="HK57" s="17">
        <v>1</v>
      </c>
      <c r="HL57" s="17">
        <v>1</v>
      </c>
      <c r="HM57" s="17"/>
      <c r="HN57" s="17"/>
      <c r="HO57" s="17">
        <v>1</v>
      </c>
      <c r="HP57" s="17">
        <v>1</v>
      </c>
      <c r="HQ57" s="17">
        <v>1</v>
      </c>
      <c r="HR57" s="17"/>
      <c r="HS57" s="17"/>
      <c r="HT57" s="17"/>
      <c r="HU57" s="17">
        <v>1</v>
      </c>
      <c r="HV57" s="17">
        <v>1</v>
      </c>
      <c r="HW57" s="17"/>
      <c r="HX57" s="17">
        <v>1</v>
      </c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>
        <v>1</v>
      </c>
      <c r="KR57" s="17"/>
      <c r="KS57" s="17"/>
      <c r="KT57" s="17">
        <v>1</v>
      </c>
      <c r="KU57" s="17"/>
      <c r="KV57" s="17"/>
      <c r="KW57" s="17">
        <v>1</v>
      </c>
      <c r="KX57" s="17"/>
      <c r="KY57" s="17">
        <v>1</v>
      </c>
      <c r="KZ57" s="17">
        <v>1</v>
      </c>
      <c r="LA57" s="17">
        <v>1</v>
      </c>
      <c r="LB57" s="17"/>
      <c r="LC57" s="17">
        <v>1</v>
      </c>
      <c r="LD57" s="17"/>
      <c r="LE57" s="17"/>
      <c r="LF57" s="17"/>
      <c r="LG57" s="17">
        <v>1</v>
      </c>
      <c r="LH57" s="17">
        <v>1</v>
      </c>
      <c r="LI57" s="17">
        <v>1</v>
      </c>
      <c r="LJ57" s="17"/>
      <c r="LK57" s="17"/>
      <c r="LL57" s="17">
        <v>1</v>
      </c>
      <c r="LM57" s="17"/>
      <c r="LN57" s="17">
        <v>1</v>
      </c>
      <c r="LO57" s="17"/>
      <c r="LP57" s="17">
        <v>1</v>
      </c>
      <c r="LQ57" s="17">
        <v>1</v>
      </c>
      <c r="LR57" s="17"/>
      <c r="LS57" s="17"/>
      <c r="LT57" s="17"/>
      <c r="LU57" s="17">
        <v>1</v>
      </c>
      <c r="LV57" s="17">
        <v>1</v>
      </c>
      <c r="LW57" s="17"/>
      <c r="LX57" s="17">
        <v>1</v>
      </c>
      <c r="LY57" s="17"/>
      <c r="LZ57" s="17">
        <v>1</v>
      </c>
      <c r="MA57" s="17"/>
      <c r="MB57" s="17">
        <v>1</v>
      </c>
      <c r="MC57" s="17"/>
      <c r="MD57" s="17"/>
      <c r="ME57" s="17"/>
      <c r="MF57" s="17"/>
      <c r="MG57" s="17">
        <v>1</v>
      </c>
      <c r="MH57" s="17"/>
      <c r="MI57" s="17"/>
      <c r="MJ57" s="17"/>
      <c r="MK57" s="17"/>
      <c r="ML57" s="17">
        <v>1</v>
      </c>
      <c r="MM57" s="17">
        <v>2</v>
      </c>
      <c r="MN57" s="17"/>
      <c r="MO57" s="17"/>
      <c r="MP57" s="17">
        <v>1</v>
      </c>
      <c r="MQ57" s="17"/>
      <c r="MR57" s="17"/>
      <c r="MS57" s="17">
        <v>1</v>
      </c>
      <c r="MT57" s="17"/>
      <c r="MU57" s="17"/>
      <c r="MV57" s="17"/>
      <c r="MW57" s="17"/>
      <c r="MX57" s="17"/>
      <c r="MY57" s="17"/>
      <c r="MZ57" s="17"/>
      <c r="NA57" s="17"/>
      <c r="NB57" s="17">
        <v>1</v>
      </c>
      <c r="NC57" s="17"/>
      <c r="ND57" s="17"/>
      <c r="NE57" s="17"/>
      <c r="NF57" s="17"/>
      <c r="NG57" s="17"/>
      <c r="NH57" s="17">
        <v>1</v>
      </c>
      <c r="NI57" s="17"/>
      <c r="NJ57" s="17"/>
      <c r="NK57" s="17"/>
      <c r="NL57" s="17"/>
      <c r="NM57" s="17"/>
      <c r="NN57" s="17"/>
      <c r="NO57" s="17"/>
      <c r="NP57" s="17"/>
      <c r="NQ57" s="17"/>
      <c r="NR57" s="17">
        <v>1</v>
      </c>
      <c r="NS57" s="17"/>
      <c r="NT57" s="17"/>
      <c r="NU57" s="17"/>
      <c r="NV57" s="17">
        <v>1</v>
      </c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 t="s">
        <v>507</v>
      </c>
      <c r="QA57" s="17" t="s">
        <v>507</v>
      </c>
      <c r="QB57" s="17" t="s">
        <v>508</v>
      </c>
      <c r="QC57" s="17" t="s">
        <v>508</v>
      </c>
      <c r="QD57" s="17" t="s">
        <v>508</v>
      </c>
      <c r="QE57" s="17" t="s">
        <v>508</v>
      </c>
      <c r="QF57" s="17" t="s">
        <v>508</v>
      </c>
      <c r="QG57" s="17" t="s">
        <v>508</v>
      </c>
      <c r="QH57" s="17" t="s">
        <v>508</v>
      </c>
      <c r="QI57" s="17">
        <v>1</v>
      </c>
      <c r="QJ57" s="17"/>
      <c r="QK57" s="17"/>
      <c r="QL57" s="17">
        <v>1</v>
      </c>
      <c r="QM57" s="17">
        <v>0</v>
      </c>
      <c r="QN57" s="17">
        <v>1</v>
      </c>
      <c r="QO57" s="17"/>
      <c r="QP57" s="17">
        <v>1</v>
      </c>
      <c r="QQ57" s="17">
        <v>1</v>
      </c>
      <c r="QR57" s="17">
        <v>1</v>
      </c>
      <c r="QS57" s="17">
        <v>1</v>
      </c>
      <c r="QT57" s="17">
        <v>1</v>
      </c>
      <c r="QU57" s="17">
        <v>1</v>
      </c>
      <c r="QV57" s="17">
        <v>0</v>
      </c>
      <c r="QW57" s="17">
        <v>0</v>
      </c>
      <c r="QX57" s="17">
        <v>0</v>
      </c>
      <c r="QY57" s="17">
        <v>0</v>
      </c>
      <c r="QZ57" s="17">
        <v>1</v>
      </c>
      <c r="RA57" s="17">
        <v>1</v>
      </c>
      <c r="RB57" s="17">
        <v>1</v>
      </c>
      <c r="RC57" s="17">
        <v>1</v>
      </c>
      <c r="RD57" s="17">
        <v>0</v>
      </c>
      <c r="RE57" s="17">
        <v>0</v>
      </c>
      <c r="RF57" s="17">
        <v>0</v>
      </c>
      <c r="RG57" s="17">
        <v>0</v>
      </c>
      <c r="RH57" s="17"/>
      <c r="RI57" s="17">
        <v>0</v>
      </c>
      <c r="RJ57" s="17">
        <v>0</v>
      </c>
      <c r="RK57" s="17">
        <v>0</v>
      </c>
      <c r="RL57" s="17">
        <v>0</v>
      </c>
      <c r="RM57" s="17">
        <v>0</v>
      </c>
      <c r="RN57" s="17">
        <v>1</v>
      </c>
      <c r="RO57" s="17">
        <v>0</v>
      </c>
      <c r="RP57" s="17">
        <v>0</v>
      </c>
      <c r="RQ57" s="17">
        <v>0</v>
      </c>
      <c r="RR57" s="17">
        <v>0</v>
      </c>
      <c r="RS57" s="17">
        <v>1</v>
      </c>
      <c r="RT57" s="17">
        <v>0</v>
      </c>
      <c r="RU57" s="17">
        <v>1</v>
      </c>
      <c r="RV57" s="17">
        <v>0</v>
      </c>
      <c r="RW57" s="17">
        <v>1</v>
      </c>
      <c r="RX57" s="17">
        <v>1</v>
      </c>
      <c r="RY57" s="17">
        <v>0</v>
      </c>
      <c r="RZ57" s="17">
        <v>0</v>
      </c>
      <c r="SA57" s="17">
        <v>1</v>
      </c>
      <c r="SB57" s="17">
        <v>1</v>
      </c>
      <c r="SC57" s="17">
        <v>0</v>
      </c>
      <c r="SD57" s="17">
        <v>0</v>
      </c>
      <c r="SE57" s="17">
        <v>1</v>
      </c>
      <c r="SF57" s="17">
        <v>1</v>
      </c>
      <c r="SG57" s="17">
        <v>1</v>
      </c>
      <c r="SH57" s="17">
        <v>1</v>
      </c>
      <c r="SI57" s="17">
        <v>10058</v>
      </c>
      <c r="SJ57" s="19">
        <f t="shared" si="3"/>
        <v>129</v>
      </c>
      <c r="SK57" s="19">
        <f t="shared" si="4"/>
        <v>136</v>
      </c>
      <c r="SL57" s="19">
        <f t="shared" si="5"/>
        <v>7</v>
      </c>
      <c r="SM57" s="9">
        <v>10058</v>
      </c>
      <c r="SN57" s="9" t="s">
        <v>504</v>
      </c>
      <c r="SO57" s="10">
        <v>1</v>
      </c>
      <c r="SP57" s="9">
        <v>3</v>
      </c>
      <c r="SQ57" s="11" t="s">
        <v>517</v>
      </c>
      <c r="SR57" s="9">
        <v>18</v>
      </c>
      <c r="SS57" s="28">
        <v>63.5</v>
      </c>
      <c r="ST57" s="28">
        <v>15</v>
      </c>
      <c r="SU57" s="28">
        <v>109</v>
      </c>
      <c r="SV57" s="28">
        <v>32</v>
      </c>
      <c r="SW57" s="28">
        <v>6</v>
      </c>
      <c r="SX57" s="28">
        <v>27</v>
      </c>
      <c r="SY57" s="29">
        <v>0</v>
      </c>
      <c r="SZ57" s="30">
        <v>0</v>
      </c>
      <c r="TA57" s="31">
        <v>17</v>
      </c>
      <c r="TB57" s="31">
        <v>35</v>
      </c>
    </row>
    <row r="58" spans="1:522" ht="15.75" customHeight="1" x14ac:dyDescent="0.2">
      <c r="A58" s="17">
        <v>10059</v>
      </c>
      <c r="B58" s="17" t="s">
        <v>501</v>
      </c>
      <c r="C58" s="17" t="s">
        <v>502</v>
      </c>
      <c r="D58" s="17" t="s">
        <v>512</v>
      </c>
      <c r="E58" s="17" t="s">
        <v>509</v>
      </c>
      <c r="F58" s="18">
        <v>38058</v>
      </c>
      <c r="G58" s="18">
        <v>38547</v>
      </c>
      <c r="H58" s="14">
        <f t="shared" si="2"/>
        <v>16</v>
      </c>
      <c r="I58" s="17" t="s">
        <v>505</v>
      </c>
      <c r="J58" s="17">
        <v>1</v>
      </c>
      <c r="K58" s="17">
        <v>1</v>
      </c>
      <c r="L58" s="17">
        <v>1</v>
      </c>
      <c r="M58" s="17"/>
      <c r="N58" s="17"/>
      <c r="O58" s="17"/>
      <c r="P58" s="17"/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/>
      <c r="W58" s="17">
        <v>1</v>
      </c>
      <c r="X58" s="17"/>
      <c r="Y58" s="17">
        <v>1</v>
      </c>
      <c r="Z58" s="17">
        <v>1</v>
      </c>
      <c r="AA58" s="17">
        <v>1</v>
      </c>
      <c r="AB58" s="17">
        <v>1</v>
      </c>
      <c r="AC58" s="17"/>
      <c r="AD58" s="17"/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/>
      <c r="AK58" s="17">
        <v>1</v>
      </c>
      <c r="AL58" s="17">
        <v>1</v>
      </c>
      <c r="AM58" s="17">
        <v>1</v>
      </c>
      <c r="AN58" s="17"/>
      <c r="AO58" s="17" t="s">
        <v>507</v>
      </c>
      <c r="AP58" s="17" t="s">
        <v>507</v>
      </c>
      <c r="AQ58" s="17">
        <v>2</v>
      </c>
      <c r="AR58" s="17"/>
      <c r="AS58" s="17"/>
      <c r="AT58" s="17">
        <v>2</v>
      </c>
      <c r="AU58" s="17"/>
      <c r="AV58" s="17"/>
      <c r="AW58" s="17"/>
      <c r="AX58" s="17"/>
      <c r="AY58" s="17">
        <v>2</v>
      </c>
      <c r="AZ58" s="17"/>
      <c r="BA58" s="17">
        <v>2</v>
      </c>
      <c r="BB58" s="17">
        <v>2</v>
      </c>
      <c r="BC58" s="17"/>
      <c r="BD58" s="17">
        <v>1</v>
      </c>
      <c r="BE58" s="17"/>
      <c r="BF58" s="17">
        <v>1</v>
      </c>
      <c r="BG58" s="17"/>
      <c r="BH58" s="17">
        <v>1</v>
      </c>
      <c r="BI58" s="17"/>
      <c r="BJ58" s="17"/>
      <c r="BK58" s="17"/>
      <c r="BL58" s="17"/>
      <c r="BM58" s="17"/>
      <c r="BN58" s="17">
        <v>1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>
        <v>1</v>
      </c>
      <c r="CN58" s="17"/>
      <c r="CO58" s="17"/>
      <c r="CP58" s="17"/>
      <c r="CQ58" s="17"/>
      <c r="CR58" s="17"/>
      <c r="CS58" s="17"/>
      <c r="CT58" s="17"/>
      <c r="CU58" s="17"/>
      <c r="CV58" s="17"/>
      <c r="CW58" s="17">
        <v>1</v>
      </c>
      <c r="CX58" s="17"/>
      <c r="CY58" s="17"/>
      <c r="CZ58" s="17"/>
      <c r="DA58" s="17"/>
      <c r="DB58" s="17"/>
      <c r="DC58" s="17"/>
      <c r="DD58" s="17"/>
      <c r="DE58" s="17">
        <v>2</v>
      </c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>
        <v>1</v>
      </c>
      <c r="EW58" s="17"/>
      <c r="EX58" s="17"/>
      <c r="EY58" s="17"/>
      <c r="EZ58" s="17"/>
      <c r="FA58" s="17"/>
      <c r="FB58" s="17">
        <v>2</v>
      </c>
      <c r="FC58" s="17"/>
      <c r="FD58" s="17"/>
      <c r="FE58" s="17">
        <v>2</v>
      </c>
      <c r="FF58" s="17"/>
      <c r="FG58" s="17"/>
      <c r="FH58" s="17"/>
      <c r="FI58" s="17"/>
      <c r="FJ58" s="17"/>
      <c r="FK58" s="17"/>
      <c r="FL58" s="17"/>
      <c r="FM58" s="17"/>
      <c r="FN58" s="17">
        <v>2</v>
      </c>
      <c r="FO58" s="17">
        <v>2</v>
      </c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>
        <v>1</v>
      </c>
      <c r="HJ58" s="17"/>
      <c r="HK58" s="17"/>
      <c r="HL58" s="17">
        <v>1</v>
      </c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>
        <v>1</v>
      </c>
      <c r="HY58" s="17"/>
      <c r="HZ58" s="17"/>
      <c r="IA58" s="17">
        <v>1</v>
      </c>
      <c r="IB58" s="17"/>
      <c r="IC58" s="17"/>
      <c r="ID58" s="17"/>
      <c r="IE58" s="17"/>
      <c r="IF58" s="17"/>
      <c r="IG58" s="17"/>
      <c r="IH58" s="17"/>
      <c r="II58" s="17"/>
      <c r="IJ58" s="17">
        <v>2</v>
      </c>
      <c r="IK58" s="17">
        <v>1</v>
      </c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>
        <v>2</v>
      </c>
      <c r="JF58" s="17"/>
      <c r="JG58" s="17"/>
      <c r="JH58" s="17"/>
      <c r="JI58" s="17"/>
      <c r="JJ58" s="17"/>
      <c r="JK58" s="17">
        <v>2</v>
      </c>
      <c r="JL58" s="17"/>
      <c r="JM58" s="17"/>
      <c r="JN58" s="17"/>
      <c r="JO58" s="17"/>
      <c r="JP58" s="17"/>
      <c r="JQ58" s="17">
        <v>2</v>
      </c>
      <c r="JR58" s="17">
        <v>1</v>
      </c>
      <c r="JS58" s="17"/>
      <c r="JT58" s="17"/>
      <c r="JU58" s="17"/>
      <c r="JV58" s="17"/>
      <c r="JW58" s="17"/>
      <c r="JX58" s="17">
        <v>1</v>
      </c>
      <c r="JY58" s="17">
        <v>2</v>
      </c>
      <c r="JZ58" s="17"/>
      <c r="KA58" s="17"/>
      <c r="KB58" s="17"/>
      <c r="KC58" s="17"/>
      <c r="KD58" s="17">
        <v>2</v>
      </c>
      <c r="KE58" s="17"/>
      <c r="KF58" s="17"/>
      <c r="KG58" s="17"/>
      <c r="KH58" s="17">
        <v>2</v>
      </c>
      <c r="KI58" s="17">
        <v>1</v>
      </c>
      <c r="KJ58" s="17">
        <v>1</v>
      </c>
      <c r="KK58" s="17"/>
      <c r="KL58" s="17"/>
      <c r="KM58" s="17"/>
      <c r="KN58" s="17"/>
      <c r="KO58" s="17"/>
      <c r="KP58" s="17"/>
      <c r="KQ58" s="17"/>
      <c r="KR58" s="17"/>
      <c r="KS58" s="17"/>
      <c r="KT58" s="17">
        <v>1</v>
      </c>
      <c r="KU58" s="17"/>
      <c r="KV58" s="17"/>
      <c r="KW58" s="17"/>
      <c r="KX58" s="17"/>
      <c r="KY58" s="17">
        <v>1</v>
      </c>
      <c r="KZ58" s="17"/>
      <c r="LA58" s="17"/>
      <c r="LB58" s="17"/>
      <c r="LC58" s="17"/>
      <c r="LD58" s="17"/>
      <c r="LE58" s="17"/>
      <c r="LF58" s="17"/>
      <c r="LG58" s="17"/>
      <c r="LH58" s="17">
        <v>1</v>
      </c>
      <c r="LI58" s="17"/>
      <c r="LJ58" s="17"/>
      <c r="LK58" s="17"/>
      <c r="LL58" s="17"/>
      <c r="LM58" s="17"/>
      <c r="LN58" s="17">
        <v>1</v>
      </c>
      <c r="LO58" s="17"/>
      <c r="LP58" s="17">
        <v>1</v>
      </c>
      <c r="LQ58" s="17">
        <v>1</v>
      </c>
      <c r="LR58" s="17"/>
      <c r="LS58" s="17"/>
      <c r="LT58" s="17"/>
      <c r="LU58" s="17"/>
      <c r="LV58" s="17"/>
      <c r="LW58" s="17"/>
      <c r="LX58" s="17"/>
      <c r="LY58" s="17"/>
      <c r="LZ58" s="17"/>
      <c r="MA58" s="17">
        <v>1</v>
      </c>
      <c r="MB58" s="17"/>
      <c r="MC58" s="17"/>
      <c r="MD58" s="17"/>
      <c r="ME58" s="17"/>
      <c r="MF58" s="17"/>
      <c r="MG58" s="17">
        <v>1</v>
      </c>
      <c r="MH58" s="17">
        <v>1</v>
      </c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>
        <v>1</v>
      </c>
      <c r="NC58" s="17"/>
      <c r="ND58" s="17">
        <v>1</v>
      </c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>
        <v>1</v>
      </c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>
        <v>1</v>
      </c>
      <c r="PG58" s="17"/>
      <c r="PH58" s="17"/>
      <c r="PI58" s="17"/>
      <c r="PJ58" s="17"/>
      <c r="PK58" s="17"/>
      <c r="PL58" s="17"/>
      <c r="PM58" s="17"/>
      <c r="PN58" s="17">
        <v>1</v>
      </c>
      <c r="PO58" s="17"/>
      <c r="PP58" s="17"/>
      <c r="PQ58" s="17"/>
      <c r="PR58" s="17"/>
      <c r="PS58" s="17"/>
      <c r="PT58" s="17"/>
      <c r="PU58" s="17"/>
      <c r="PV58" s="17"/>
      <c r="PW58" s="17" t="s">
        <v>506</v>
      </c>
      <c r="PX58" s="17"/>
      <c r="PY58" s="17"/>
      <c r="PZ58" s="17"/>
      <c r="QA58" s="17" t="s">
        <v>506</v>
      </c>
      <c r="QB58" s="17" t="s">
        <v>507</v>
      </c>
      <c r="QC58" s="17" t="s">
        <v>507</v>
      </c>
      <c r="QD58" s="17" t="s">
        <v>508</v>
      </c>
      <c r="QE58" s="17"/>
      <c r="QF58" s="17" t="s">
        <v>508</v>
      </c>
      <c r="QG58" s="17" t="s">
        <v>507</v>
      </c>
      <c r="QH58" s="17" t="s">
        <v>508</v>
      </c>
      <c r="QI58" s="17">
        <v>1</v>
      </c>
      <c r="QJ58" s="17">
        <v>1</v>
      </c>
      <c r="QK58" s="17">
        <v>0</v>
      </c>
      <c r="QL58" s="17">
        <v>1</v>
      </c>
      <c r="QM58" s="17">
        <v>1</v>
      </c>
      <c r="QN58" s="17">
        <v>1</v>
      </c>
      <c r="QO58" s="17"/>
      <c r="QP58" s="17">
        <v>1</v>
      </c>
      <c r="QQ58" s="17">
        <v>1</v>
      </c>
      <c r="QR58" s="17">
        <v>1</v>
      </c>
      <c r="QS58" s="17">
        <v>1</v>
      </c>
      <c r="QT58" s="17">
        <v>1</v>
      </c>
      <c r="QU58" s="17">
        <v>1</v>
      </c>
      <c r="QV58" s="17">
        <v>0</v>
      </c>
      <c r="QW58" s="17">
        <v>1</v>
      </c>
      <c r="QX58" s="17">
        <v>1</v>
      </c>
      <c r="QY58" s="17">
        <v>0</v>
      </c>
      <c r="QZ58" s="17">
        <v>1</v>
      </c>
      <c r="RA58" s="17">
        <v>0</v>
      </c>
      <c r="RB58" s="17">
        <v>1</v>
      </c>
      <c r="RC58" s="17">
        <v>1</v>
      </c>
      <c r="RD58" s="17">
        <v>0</v>
      </c>
      <c r="RE58" s="17">
        <v>1</v>
      </c>
      <c r="RF58" s="17">
        <v>0</v>
      </c>
      <c r="RG58" s="17">
        <v>0</v>
      </c>
      <c r="RH58" s="17">
        <v>0</v>
      </c>
      <c r="RI58" s="17">
        <v>0</v>
      </c>
      <c r="RJ58" s="17">
        <v>0</v>
      </c>
      <c r="RK58" s="17">
        <v>0</v>
      </c>
      <c r="RL58" s="17">
        <v>0</v>
      </c>
      <c r="RM58" s="17">
        <v>0</v>
      </c>
      <c r="RN58" s="17">
        <v>1</v>
      </c>
      <c r="RO58" s="17">
        <v>0</v>
      </c>
      <c r="RP58" s="17">
        <v>0</v>
      </c>
      <c r="RQ58" s="17">
        <v>0</v>
      </c>
      <c r="RR58" s="17">
        <v>0</v>
      </c>
      <c r="RS58" s="17">
        <v>1</v>
      </c>
      <c r="RT58" s="17">
        <v>0</v>
      </c>
      <c r="RU58" s="17">
        <v>1</v>
      </c>
      <c r="RV58" s="17">
        <v>0</v>
      </c>
      <c r="RW58" s="17">
        <v>1</v>
      </c>
      <c r="RX58" s="17">
        <v>1</v>
      </c>
      <c r="RY58" s="17">
        <v>0</v>
      </c>
      <c r="RZ58" s="17">
        <v>0</v>
      </c>
      <c r="SA58" s="17">
        <v>1</v>
      </c>
      <c r="SB58" s="17">
        <v>1</v>
      </c>
      <c r="SC58" s="17">
        <v>0</v>
      </c>
      <c r="SD58" s="17">
        <v>0</v>
      </c>
      <c r="SE58" s="17">
        <v>1</v>
      </c>
      <c r="SF58" s="17">
        <v>1</v>
      </c>
      <c r="SG58" s="17">
        <v>1</v>
      </c>
      <c r="SH58" s="17"/>
      <c r="SI58" s="17">
        <v>10059</v>
      </c>
      <c r="SJ58" s="19">
        <f t="shared" si="3"/>
        <v>30</v>
      </c>
      <c r="SK58" s="19">
        <f t="shared" si="4"/>
        <v>47</v>
      </c>
      <c r="SL58" s="19">
        <f t="shared" si="5"/>
        <v>17</v>
      </c>
      <c r="SM58" s="9">
        <v>10059</v>
      </c>
      <c r="SN58" s="9" t="s">
        <v>509</v>
      </c>
      <c r="SO58" s="10">
        <v>1</v>
      </c>
      <c r="SP58" s="9">
        <v>1</v>
      </c>
      <c r="SQ58" s="13" t="s">
        <v>515</v>
      </c>
      <c r="SR58" s="9">
        <v>12</v>
      </c>
      <c r="SS58" s="28">
        <v>43</v>
      </c>
      <c r="ST58" s="28">
        <v>16</v>
      </c>
      <c r="SU58" s="28">
        <v>50</v>
      </c>
      <c r="SV58" s="28">
        <v>0</v>
      </c>
      <c r="SW58" s="28">
        <v>19</v>
      </c>
      <c r="SX58" s="28">
        <v>23</v>
      </c>
      <c r="SY58" s="29">
        <v>37</v>
      </c>
      <c r="SZ58" s="30">
        <v>24</v>
      </c>
      <c r="TA58" s="31">
        <v>18</v>
      </c>
      <c r="TB58" s="31">
        <v>23</v>
      </c>
    </row>
    <row r="59" spans="1:522" ht="15.75" customHeight="1" x14ac:dyDescent="0.2">
      <c r="A59" s="17">
        <v>10060</v>
      </c>
      <c r="B59" s="17" t="s">
        <v>501</v>
      </c>
      <c r="C59" s="17" t="s">
        <v>502</v>
      </c>
      <c r="D59" s="17" t="s">
        <v>512</v>
      </c>
      <c r="E59" s="17" t="s">
        <v>509</v>
      </c>
      <c r="F59" s="18">
        <v>38061</v>
      </c>
      <c r="G59" s="18">
        <v>38524</v>
      </c>
      <c r="H59" s="14">
        <f t="shared" si="2"/>
        <v>15</v>
      </c>
      <c r="I59" s="17" t="s">
        <v>505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/>
      <c r="P59" s="17"/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/>
      <c r="W59" s="17">
        <v>1</v>
      </c>
      <c r="X59" s="17">
        <v>1</v>
      </c>
      <c r="Y59" s="17">
        <v>1</v>
      </c>
      <c r="Z59" s="17">
        <v>1</v>
      </c>
      <c r="AA59" s="17">
        <v>1</v>
      </c>
      <c r="AB59" s="17">
        <v>1</v>
      </c>
      <c r="AC59" s="17">
        <v>1</v>
      </c>
      <c r="AD59" s="17"/>
      <c r="AE59" s="17">
        <v>1</v>
      </c>
      <c r="AF59" s="17">
        <v>1</v>
      </c>
      <c r="AG59" s="17"/>
      <c r="AH59" s="17">
        <v>1</v>
      </c>
      <c r="AI59" s="17"/>
      <c r="AJ59" s="17"/>
      <c r="AK59" s="17">
        <v>1</v>
      </c>
      <c r="AL59" s="17">
        <v>1</v>
      </c>
      <c r="AM59" s="17"/>
      <c r="AN59" s="17">
        <v>1</v>
      </c>
      <c r="AO59" s="17" t="s">
        <v>507</v>
      </c>
      <c r="AP59" s="17" t="s">
        <v>507</v>
      </c>
      <c r="AQ59" s="17"/>
      <c r="AR59" s="17"/>
      <c r="AS59" s="17"/>
      <c r="AT59" s="17">
        <v>2</v>
      </c>
      <c r="AU59" s="17">
        <v>2</v>
      </c>
      <c r="AV59" s="17">
        <v>1</v>
      </c>
      <c r="AW59" s="17"/>
      <c r="AX59" s="17">
        <v>2</v>
      </c>
      <c r="AY59" s="17">
        <v>1</v>
      </c>
      <c r="AZ59" s="17"/>
      <c r="BA59" s="17">
        <v>2</v>
      </c>
      <c r="BB59" s="17">
        <v>1</v>
      </c>
      <c r="BC59" s="17"/>
      <c r="BD59" s="17"/>
      <c r="BE59" s="17"/>
      <c r="BF59" s="17"/>
      <c r="BG59" s="17"/>
      <c r="BH59" s="17">
        <v>1</v>
      </c>
      <c r="BI59" s="17"/>
      <c r="BJ59" s="17">
        <v>1</v>
      </c>
      <c r="BK59" s="17"/>
      <c r="BL59" s="17"/>
      <c r="BM59" s="17"/>
      <c r="BN59" s="17">
        <v>1</v>
      </c>
      <c r="BO59" s="17"/>
      <c r="BP59" s="17">
        <v>1</v>
      </c>
      <c r="BQ59" s="17"/>
      <c r="BR59" s="17"/>
      <c r="BS59" s="17"/>
      <c r="BT59" s="17"/>
      <c r="BU59" s="17"/>
      <c r="BV59" s="17"/>
      <c r="BW59" s="17">
        <v>1</v>
      </c>
      <c r="BX59" s="17"/>
      <c r="BY59" s="17"/>
      <c r="BZ59" s="17"/>
      <c r="CA59" s="17"/>
      <c r="CB59" s="17"/>
      <c r="CC59" s="17">
        <v>1</v>
      </c>
      <c r="CD59" s="17">
        <v>1</v>
      </c>
      <c r="CE59" s="17"/>
      <c r="CF59" s="17">
        <v>1</v>
      </c>
      <c r="CG59" s="17"/>
      <c r="CH59" s="17"/>
      <c r="CI59" s="17">
        <v>1</v>
      </c>
      <c r="CJ59" s="17"/>
      <c r="CK59" s="17"/>
      <c r="CL59" s="17"/>
      <c r="CM59" s="17"/>
      <c r="CN59" s="17"/>
      <c r="CO59" s="17"/>
      <c r="CP59" s="17">
        <v>1</v>
      </c>
      <c r="CQ59" s="17"/>
      <c r="CR59" s="17"/>
      <c r="CS59" s="17">
        <v>1</v>
      </c>
      <c r="CT59" s="17"/>
      <c r="CU59" s="17"/>
      <c r="CV59" s="17">
        <v>2</v>
      </c>
      <c r="CW59" s="17">
        <v>2</v>
      </c>
      <c r="CX59" s="17">
        <v>1</v>
      </c>
      <c r="CY59" s="17"/>
      <c r="CZ59" s="17">
        <v>1</v>
      </c>
      <c r="DA59" s="17">
        <v>2</v>
      </c>
      <c r="DB59" s="17"/>
      <c r="DC59" s="17"/>
      <c r="DD59" s="17">
        <v>1</v>
      </c>
      <c r="DE59" s="17"/>
      <c r="DF59" s="17"/>
      <c r="DG59" s="17"/>
      <c r="DH59" s="17"/>
      <c r="DI59" s="17"/>
      <c r="DJ59" s="17"/>
      <c r="DK59" s="17"/>
      <c r="DL59" s="17">
        <v>1</v>
      </c>
      <c r="DM59" s="17"/>
      <c r="DN59" s="17"/>
      <c r="DO59" s="17"/>
      <c r="DP59" s="17">
        <v>1</v>
      </c>
      <c r="DQ59" s="17">
        <v>1</v>
      </c>
      <c r="DR59" s="17">
        <v>1</v>
      </c>
      <c r="DS59" s="17"/>
      <c r="DT59" s="17"/>
      <c r="DU59" s="17">
        <v>1</v>
      </c>
      <c r="DV59" s="17"/>
      <c r="DW59" s="17">
        <v>1</v>
      </c>
      <c r="DX59" s="17"/>
      <c r="DY59" s="17">
        <v>1</v>
      </c>
      <c r="DZ59" s="17"/>
      <c r="EA59" s="17"/>
      <c r="EB59" s="17"/>
      <c r="EC59" s="17">
        <v>1</v>
      </c>
      <c r="ED59" s="17"/>
      <c r="EE59" s="17"/>
      <c r="EF59" s="17"/>
      <c r="EG59" s="17">
        <v>1</v>
      </c>
      <c r="EH59" s="17"/>
      <c r="EI59" s="17">
        <v>1</v>
      </c>
      <c r="EJ59" s="17"/>
      <c r="EK59" s="17"/>
      <c r="EL59" s="17">
        <v>1</v>
      </c>
      <c r="EM59" s="17">
        <v>1</v>
      </c>
      <c r="EN59" s="17"/>
      <c r="EO59" s="17">
        <v>1</v>
      </c>
      <c r="EP59" s="17"/>
      <c r="EQ59" s="17"/>
      <c r="ER59" s="17"/>
      <c r="ES59" s="17">
        <v>1</v>
      </c>
      <c r="ET59" s="17"/>
      <c r="EU59" s="17"/>
      <c r="EV59" s="17">
        <v>1</v>
      </c>
      <c r="EW59" s="17"/>
      <c r="EX59" s="17">
        <v>1</v>
      </c>
      <c r="EY59" s="17"/>
      <c r="EZ59" s="17"/>
      <c r="FA59" s="17"/>
      <c r="FB59" s="17">
        <v>1</v>
      </c>
      <c r="FC59" s="17"/>
      <c r="FD59" s="17">
        <v>1</v>
      </c>
      <c r="FE59" s="17">
        <v>1</v>
      </c>
      <c r="FF59" s="17"/>
      <c r="FG59" s="17">
        <v>1</v>
      </c>
      <c r="FH59" s="17"/>
      <c r="FI59" s="17">
        <v>1</v>
      </c>
      <c r="FJ59" s="17"/>
      <c r="FK59" s="17">
        <v>1</v>
      </c>
      <c r="FL59" s="17"/>
      <c r="FM59" s="17"/>
      <c r="FN59" s="17">
        <v>1</v>
      </c>
      <c r="FO59" s="17">
        <v>1</v>
      </c>
      <c r="FP59" s="17"/>
      <c r="FQ59" s="17"/>
      <c r="FR59" s="17">
        <v>1</v>
      </c>
      <c r="FS59" s="17"/>
      <c r="FT59" s="17">
        <v>1</v>
      </c>
      <c r="FU59" s="17">
        <v>1</v>
      </c>
      <c r="FV59" s="17">
        <v>1</v>
      </c>
      <c r="FW59" s="17"/>
      <c r="FX59" s="17"/>
      <c r="FY59" s="17"/>
      <c r="FZ59" s="17">
        <v>1</v>
      </c>
      <c r="GA59" s="17"/>
      <c r="GB59" s="17"/>
      <c r="GC59" s="17">
        <v>1</v>
      </c>
      <c r="GD59" s="17"/>
      <c r="GE59" s="17">
        <v>1</v>
      </c>
      <c r="GF59" s="17"/>
      <c r="GG59" s="17">
        <v>1</v>
      </c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>
        <v>1</v>
      </c>
      <c r="GY59" s="17">
        <v>1</v>
      </c>
      <c r="GZ59" s="17">
        <v>1</v>
      </c>
      <c r="HA59" s="17"/>
      <c r="HB59" s="17">
        <v>1</v>
      </c>
      <c r="HC59" s="17"/>
      <c r="HD59" s="17"/>
      <c r="HE59" s="17">
        <v>1</v>
      </c>
      <c r="HF59" s="17">
        <v>1</v>
      </c>
      <c r="HG59" s="17">
        <v>1</v>
      </c>
      <c r="HH59" s="17"/>
      <c r="HI59" s="17"/>
      <c r="HJ59" s="17"/>
      <c r="HK59" s="17">
        <v>1</v>
      </c>
      <c r="HL59" s="17"/>
      <c r="HM59" s="17"/>
      <c r="HN59" s="17"/>
      <c r="HO59" s="17">
        <v>1</v>
      </c>
      <c r="HP59" s="17"/>
      <c r="HQ59" s="17"/>
      <c r="HR59" s="17"/>
      <c r="HS59" s="17"/>
      <c r="HT59" s="17"/>
      <c r="HU59" s="17">
        <v>1</v>
      </c>
      <c r="HV59" s="17"/>
      <c r="HW59" s="17">
        <v>1</v>
      </c>
      <c r="HX59" s="17"/>
      <c r="HY59" s="17"/>
      <c r="HZ59" s="17"/>
      <c r="IA59" s="17">
        <v>1</v>
      </c>
      <c r="IB59" s="17"/>
      <c r="IC59" s="17"/>
      <c r="ID59" s="17"/>
      <c r="IE59" s="17"/>
      <c r="IF59" s="17">
        <v>1</v>
      </c>
      <c r="IG59" s="17"/>
      <c r="IH59" s="17">
        <v>1</v>
      </c>
      <c r="II59" s="17"/>
      <c r="IJ59" s="17"/>
      <c r="IK59" s="17"/>
      <c r="IL59" s="17">
        <v>1</v>
      </c>
      <c r="IM59" s="17"/>
      <c r="IN59" s="17"/>
      <c r="IO59" s="17"/>
      <c r="IP59" s="17"/>
      <c r="IQ59" s="17"/>
      <c r="IR59" s="17"/>
      <c r="IS59" s="17"/>
      <c r="IT59" s="17">
        <v>1</v>
      </c>
      <c r="IU59" s="17"/>
      <c r="IV59" s="17"/>
      <c r="IW59" s="17"/>
      <c r="IX59" s="17"/>
      <c r="IY59" s="17"/>
      <c r="IZ59" s="17"/>
      <c r="JA59" s="17">
        <v>1</v>
      </c>
      <c r="JB59" s="17"/>
      <c r="JC59" s="17"/>
      <c r="JD59" s="17"/>
      <c r="JE59" s="17">
        <v>2</v>
      </c>
      <c r="JF59" s="17"/>
      <c r="JG59" s="17"/>
      <c r="JH59" s="17"/>
      <c r="JI59" s="17">
        <v>1</v>
      </c>
      <c r="JJ59" s="17"/>
      <c r="JK59" s="17">
        <v>2</v>
      </c>
      <c r="JL59" s="17"/>
      <c r="JM59" s="17"/>
      <c r="JN59" s="17"/>
      <c r="JO59" s="17"/>
      <c r="JP59" s="17"/>
      <c r="JQ59" s="17">
        <v>2</v>
      </c>
      <c r="JR59" s="17">
        <v>1</v>
      </c>
      <c r="JS59" s="17"/>
      <c r="JT59" s="17"/>
      <c r="JU59" s="17"/>
      <c r="JV59" s="17"/>
      <c r="JW59" s="17"/>
      <c r="JX59" s="17">
        <v>1</v>
      </c>
      <c r="JY59" s="17"/>
      <c r="JZ59" s="17">
        <v>1</v>
      </c>
      <c r="KA59" s="17"/>
      <c r="KB59" s="17"/>
      <c r="KC59" s="17">
        <v>2</v>
      </c>
      <c r="KD59" s="17"/>
      <c r="KE59" s="17"/>
      <c r="KF59" s="17">
        <v>1</v>
      </c>
      <c r="KG59" s="17">
        <v>1</v>
      </c>
      <c r="KH59" s="17">
        <v>1</v>
      </c>
      <c r="KI59" s="17"/>
      <c r="KJ59" s="17">
        <v>1</v>
      </c>
      <c r="KK59" s="17">
        <v>1</v>
      </c>
      <c r="KL59" s="17"/>
      <c r="KM59" s="17">
        <v>1</v>
      </c>
      <c r="KN59" s="17"/>
      <c r="KO59" s="17"/>
      <c r="KP59" s="17">
        <v>1</v>
      </c>
      <c r="KQ59" s="17"/>
      <c r="KR59" s="17"/>
      <c r="KS59" s="17"/>
      <c r="KT59" s="17">
        <v>1</v>
      </c>
      <c r="KU59" s="17"/>
      <c r="KV59" s="17"/>
      <c r="KW59" s="17"/>
      <c r="KX59" s="17"/>
      <c r="KY59" s="17">
        <v>1</v>
      </c>
      <c r="KZ59" s="17"/>
      <c r="LA59" s="17">
        <v>1</v>
      </c>
      <c r="LB59" s="17"/>
      <c r="LC59" s="17">
        <v>1</v>
      </c>
      <c r="LD59" s="17"/>
      <c r="LE59" s="17"/>
      <c r="LF59" s="17"/>
      <c r="LG59" s="17">
        <v>1</v>
      </c>
      <c r="LH59" s="17">
        <v>1</v>
      </c>
      <c r="LI59" s="17">
        <v>1</v>
      </c>
      <c r="LJ59" s="17"/>
      <c r="LK59" s="17"/>
      <c r="LL59" s="17">
        <v>1</v>
      </c>
      <c r="LM59" s="17"/>
      <c r="LN59" s="17"/>
      <c r="LO59" s="17"/>
      <c r="LP59" s="17">
        <v>1</v>
      </c>
      <c r="LQ59" s="17"/>
      <c r="LR59" s="17"/>
      <c r="LS59" s="17"/>
      <c r="LT59" s="17"/>
      <c r="LU59" s="17"/>
      <c r="LV59" s="17"/>
      <c r="LW59" s="17"/>
      <c r="LX59" s="17">
        <v>1</v>
      </c>
      <c r="LY59" s="17"/>
      <c r="LZ59" s="17"/>
      <c r="MA59" s="17"/>
      <c r="MB59" s="17"/>
      <c r="MC59" s="17"/>
      <c r="MD59" s="17"/>
      <c r="ME59" s="17">
        <v>1</v>
      </c>
      <c r="MF59" s="17"/>
      <c r="MG59" s="17"/>
      <c r="MH59" s="17">
        <v>1</v>
      </c>
      <c r="MI59" s="17"/>
      <c r="MJ59" s="17"/>
      <c r="MK59" s="17"/>
      <c r="ML59" s="17"/>
      <c r="MM59" s="17">
        <v>1</v>
      </c>
      <c r="MN59" s="17"/>
      <c r="MO59" s="17"/>
      <c r="MP59" s="17">
        <v>1</v>
      </c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>
        <v>1</v>
      </c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>
        <v>1</v>
      </c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>
        <v>1</v>
      </c>
      <c r="OS59" s="17"/>
      <c r="OT59" s="17"/>
      <c r="OU59" s="17"/>
      <c r="OV59" s="17">
        <v>1</v>
      </c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>
        <v>1</v>
      </c>
      <c r="PO59" s="17"/>
      <c r="PP59" s="17"/>
      <c r="PQ59" s="17">
        <v>1</v>
      </c>
      <c r="PR59" s="17"/>
      <c r="PS59" s="17"/>
      <c r="PT59" s="17"/>
      <c r="PU59" s="17"/>
      <c r="PV59" s="17"/>
      <c r="PW59" s="17" t="s">
        <v>506</v>
      </c>
      <c r="PX59" s="17" t="s">
        <v>506</v>
      </c>
      <c r="PY59" s="17" t="s">
        <v>506</v>
      </c>
      <c r="PZ59" s="17" t="s">
        <v>506</v>
      </c>
      <c r="QA59" s="17" t="s">
        <v>506</v>
      </c>
      <c r="QB59" s="17" t="s">
        <v>506</v>
      </c>
      <c r="QC59" s="17" t="s">
        <v>506</v>
      </c>
      <c r="QD59" s="17" t="s">
        <v>508</v>
      </c>
      <c r="QE59" s="17" t="s">
        <v>506</v>
      </c>
      <c r="QF59" s="17"/>
      <c r="QG59" s="17" t="s">
        <v>507</v>
      </c>
      <c r="QH59" s="17"/>
      <c r="QI59" s="17">
        <v>1</v>
      </c>
      <c r="QJ59" s="17">
        <v>0</v>
      </c>
      <c r="QK59" s="17">
        <v>0</v>
      </c>
      <c r="QL59" s="17">
        <v>1</v>
      </c>
      <c r="QM59" s="17">
        <v>1</v>
      </c>
      <c r="QN59" s="17">
        <v>1</v>
      </c>
      <c r="QO59" s="17">
        <v>1</v>
      </c>
      <c r="QP59" s="17">
        <v>1</v>
      </c>
      <c r="QQ59" s="17">
        <v>1</v>
      </c>
      <c r="QR59" s="17">
        <v>1</v>
      </c>
      <c r="QS59" s="17">
        <v>1</v>
      </c>
      <c r="QT59" s="17">
        <v>1</v>
      </c>
      <c r="QU59" s="17">
        <v>1</v>
      </c>
      <c r="QV59" s="17">
        <v>1</v>
      </c>
      <c r="QW59" s="17">
        <v>0</v>
      </c>
      <c r="QX59" s="17">
        <v>0</v>
      </c>
      <c r="QY59" s="17">
        <v>1</v>
      </c>
      <c r="QZ59" s="17">
        <v>1</v>
      </c>
      <c r="RA59" s="17">
        <v>1</v>
      </c>
      <c r="RB59" s="17">
        <v>1</v>
      </c>
      <c r="RC59" s="17">
        <v>1</v>
      </c>
      <c r="RD59" s="17">
        <v>1</v>
      </c>
      <c r="RE59" s="17">
        <v>1</v>
      </c>
      <c r="RF59" s="17">
        <v>1</v>
      </c>
      <c r="RG59" s="17">
        <v>1</v>
      </c>
      <c r="RH59" s="17">
        <v>1</v>
      </c>
      <c r="RI59" s="17">
        <v>1</v>
      </c>
      <c r="RJ59" s="17">
        <v>0</v>
      </c>
      <c r="RK59" s="17">
        <v>0</v>
      </c>
      <c r="RL59" s="17">
        <v>1</v>
      </c>
      <c r="RM59" s="17">
        <v>0</v>
      </c>
      <c r="RN59" s="17">
        <v>1</v>
      </c>
      <c r="RO59" s="17">
        <v>0</v>
      </c>
      <c r="RP59" s="17">
        <v>0</v>
      </c>
      <c r="RQ59" s="17">
        <v>1</v>
      </c>
      <c r="RR59" s="17">
        <v>1</v>
      </c>
      <c r="RS59" s="17">
        <v>1</v>
      </c>
      <c r="RT59" s="17">
        <v>0</v>
      </c>
      <c r="RU59" s="17">
        <v>1</v>
      </c>
      <c r="RV59" s="17">
        <v>0</v>
      </c>
      <c r="RW59" s="17">
        <v>1</v>
      </c>
      <c r="RX59" s="17">
        <v>1</v>
      </c>
      <c r="RY59" s="17">
        <v>1</v>
      </c>
      <c r="RZ59" s="17">
        <v>1</v>
      </c>
      <c r="SA59" s="17">
        <v>1</v>
      </c>
      <c r="SB59" s="17">
        <v>0</v>
      </c>
      <c r="SC59" s="17">
        <v>0</v>
      </c>
      <c r="SD59" s="17">
        <v>1</v>
      </c>
      <c r="SE59" s="17">
        <v>1</v>
      </c>
      <c r="SF59" s="17">
        <v>1</v>
      </c>
      <c r="SG59" s="17">
        <v>1</v>
      </c>
      <c r="SH59" s="17">
        <v>0</v>
      </c>
      <c r="SI59" s="17">
        <v>10060</v>
      </c>
      <c r="SJ59" s="19">
        <f t="shared" si="3"/>
        <v>97</v>
      </c>
      <c r="SK59" s="19">
        <f t="shared" si="4"/>
        <v>108</v>
      </c>
      <c r="SL59" s="19">
        <f t="shared" si="5"/>
        <v>11</v>
      </c>
      <c r="SM59" s="9">
        <v>10060</v>
      </c>
      <c r="SN59" s="9" t="s">
        <v>509</v>
      </c>
      <c r="SO59" s="10">
        <v>1</v>
      </c>
      <c r="SP59" s="9">
        <v>2</v>
      </c>
      <c r="SQ59" s="11" t="s">
        <v>517</v>
      </c>
      <c r="SR59" s="9">
        <v>16</v>
      </c>
      <c r="SS59" s="28" t="s">
        <v>563</v>
      </c>
      <c r="ST59" s="28">
        <v>15</v>
      </c>
      <c r="SU59" s="28">
        <v>109</v>
      </c>
      <c r="SV59" s="28">
        <v>25</v>
      </c>
      <c r="SW59" s="28">
        <v>12</v>
      </c>
      <c r="SX59" s="28">
        <v>29</v>
      </c>
      <c r="SY59" s="29">
        <v>51</v>
      </c>
      <c r="SZ59" s="30">
        <v>85</v>
      </c>
      <c r="TA59" s="31">
        <v>20</v>
      </c>
      <c r="TB59" s="31">
        <v>40</v>
      </c>
    </row>
    <row r="60" spans="1:522" ht="15.75" customHeight="1" x14ac:dyDescent="0.2">
      <c r="A60" s="17">
        <v>10061</v>
      </c>
      <c r="B60" s="17" t="s">
        <v>501</v>
      </c>
      <c r="C60" s="17" t="s">
        <v>502</v>
      </c>
      <c r="D60" s="17" t="s">
        <v>512</v>
      </c>
      <c r="E60" s="17" t="s">
        <v>509</v>
      </c>
      <c r="F60" s="18">
        <v>38063</v>
      </c>
      <c r="G60" s="18">
        <v>38545</v>
      </c>
      <c r="H60" s="14">
        <f t="shared" si="2"/>
        <v>15</v>
      </c>
      <c r="I60" s="17" t="s">
        <v>505</v>
      </c>
      <c r="J60" s="17">
        <v>1</v>
      </c>
      <c r="K60" s="17">
        <v>1</v>
      </c>
      <c r="L60" s="17">
        <v>1</v>
      </c>
      <c r="M60" s="17">
        <v>1</v>
      </c>
      <c r="N60" s="17"/>
      <c r="O60" s="17"/>
      <c r="P60" s="17"/>
      <c r="Q60" s="17">
        <v>1</v>
      </c>
      <c r="R60" s="17">
        <v>1</v>
      </c>
      <c r="S60" s="17">
        <v>1</v>
      </c>
      <c r="T60" s="17"/>
      <c r="U60" s="17">
        <v>1</v>
      </c>
      <c r="V60" s="17"/>
      <c r="W60" s="17">
        <v>1</v>
      </c>
      <c r="X60" s="17"/>
      <c r="Y60" s="17">
        <v>1</v>
      </c>
      <c r="Z60" s="17"/>
      <c r="AA60" s="17">
        <v>1</v>
      </c>
      <c r="AB60" s="17">
        <v>1</v>
      </c>
      <c r="AC60" s="17">
        <v>1</v>
      </c>
      <c r="AD60" s="17"/>
      <c r="AE60" s="17">
        <v>1</v>
      </c>
      <c r="AF60" s="17">
        <v>1</v>
      </c>
      <c r="AG60" s="17"/>
      <c r="AH60" s="17">
        <v>1</v>
      </c>
      <c r="AI60" s="17"/>
      <c r="AJ60" s="17">
        <v>1</v>
      </c>
      <c r="AK60" s="17">
        <v>1</v>
      </c>
      <c r="AL60" s="17"/>
      <c r="AM60" s="17">
        <v>1</v>
      </c>
      <c r="AN60" s="17"/>
      <c r="AO60" s="17" t="s">
        <v>506</v>
      </c>
      <c r="AP60" s="17" t="s">
        <v>507</v>
      </c>
      <c r="AQ60" s="17"/>
      <c r="AR60" s="17"/>
      <c r="AS60" s="17"/>
      <c r="AT60" s="17"/>
      <c r="AU60" s="17">
        <v>2</v>
      </c>
      <c r="AV60" s="17">
        <v>2</v>
      </c>
      <c r="AW60" s="17">
        <v>2</v>
      </c>
      <c r="AX60" s="17"/>
      <c r="AY60" s="17">
        <v>2</v>
      </c>
      <c r="AZ60" s="17"/>
      <c r="BA60" s="17">
        <v>2</v>
      </c>
      <c r="BB60" s="17">
        <v>2</v>
      </c>
      <c r="BC60" s="17"/>
      <c r="BD60" s="17">
        <v>2</v>
      </c>
      <c r="BE60" s="17">
        <v>1</v>
      </c>
      <c r="BF60" s="17"/>
      <c r="BG60" s="17"/>
      <c r="BH60" s="17"/>
      <c r="BI60" s="17"/>
      <c r="BJ60" s="17">
        <v>2</v>
      </c>
      <c r="BK60" s="17"/>
      <c r="BL60" s="17">
        <v>2</v>
      </c>
      <c r="BM60" s="17"/>
      <c r="BN60" s="17">
        <v>2</v>
      </c>
      <c r="BO60" s="17"/>
      <c r="BP60" s="17">
        <v>1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>
        <v>1</v>
      </c>
      <c r="CJ60" s="17"/>
      <c r="CK60" s="17"/>
      <c r="CL60" s="17"/>
      <c r="CM60" s="17"/>
      <c r="CN60" s="17">
        <v>2</v>
      </c>
      <c r="CO60" s="17"/>
      <c r="CP60" s="17">
        <v>2</v>
      </c>
      <c r="CQ60" s="17"/>
      <c r="CR60" s="17"/>
      <c r="CS60" s="17"/>
      <c r="CT60" s="17"/>
      <c r="CU60" s="17"/>
      <c r="CV60" s="17">
        <v>2</v>
      </c>
      <c r="CW60" s="17">
        <v>2</v>
      </c>
      <c r="CX60" s="17"/>
      <c r="CY60" s="17">
        <v>2</v>
      </c>
      <c r="CZ60" s="17">
        <v>2</v>
      </c>
      <c r="DA60" s="17"/>
      <c r="DB60" s="17"/>
      <c r="DC60" s="17"/>
      <c r="DD60" s="17">
        <v>2</v>
      </c>
      <c r="DE60" s="17">
        <v>2</v>
      </c>
      <c r="DF60" s="17"/>
      <c r="DG60" s="17"/>
      <c r="DH60" s="17"/>
      <c r="DI60" s="17"/>
      <c r="DJ60" s="17"/>
      <c r="DK60" s="17"/>
      <c r="DL60" s="17"/>
      <c r="DM60" s="17">
        <v>1</v>
      </c>
      <c r="DN60" s="17"/>
      <c r="DO60" s="17"/>
      <c r="DP60" s="17"/>
      <c r="DQ60" s="17">
        <v>1</v>
      </c>
      <c r="DR60" s="17">
        <v>1</v>
      </c>
      <c r="DS60" s="17"/>
      <c r="DT60" s="17"/>
      <c r="DU60" s="17">
        <v>1</v>
      </c>
      <c r="DV60" s="17"/>
      <c r="DW60" s="17">
        <v>1</v>
      </c>
      <c r="DX60" s="17"/>
      <c r="DY60" s="17"/>
      <c r="DZ60" s="17"/>
      <c r="EA60" s="17"/>
      <c r="EB60" s="17"/>
      <c r="EC60" s="17"/>
      <c r="ED60" s="17"/>
      <c r="EE60" s="17"/>
      <c r="EF60" s="17"/>
      <c r="EG60" s="17">
        <v>1</v>
      </c>
      <c r="EH60" s="17"/>
      <c r="EI60" s="17"/>
      <c r="EJ60" s="17"/>
      <c r="EK60" s="17"/>
      <c r="EL60" s="17"/>
      <c r="EM60" s="17">
        <v>1</v>
      </c>
      <c r="EN60" s="17">
        <v>1</v>
      </c>
      <c r="EO60" s="17">
        <v>2</v>
      </c>
      <c r="EP60" s="17"/>
      <c r="EQ60" s="17"/>
      <c r="ER60" s="17"/>
      <c r="ES60" s="17"/>
      <c r="ET60" s="17"/>
      <c r="EU60" s="17"/>
      <c r="EV60" s="17">
        <v>2</v>
      </c>
      <c r="EW60" s="17"/>
      <c r="EX60" s="17"/>
      <c r="EY60" s="17"/>
      <c r="EZ60" s="17"/>
      <c r="FA60" s="17"/>
      <c r="FB60" s="17">
        <v>1</v>
      </c>
      <c r="FC60" s="17"/>
      <c r="FD60" s="17">
        <v>2</v>
      </c>
      <c r="FE60" s="17">
        <v>1</v>
      </c>
      <c r="FF60" s="17"/>
      <c r="FG60" s="17">
        <v>1</v>
      </c>
      <c r="FH60" s="17"/>
      <c r="FI60" s="17"/>
      <c r="FJ60" s="17"/>
      <c r="FK60" s="17">
        <v>2</v>
      </c>
      <c r="FL60" s="17"/>
      <c r="FM60" s="17">
        <v>1</v>
      </c>
      <c r="FN60" s="17">
        <v>1</v>
      </c>
      <c r="FO60" s="17">
        <v>1</v>
      </c>
      <c r="FP60" s="17">
        <v>2</v>
      </c>
      <c r="FQ60" s="17"/>
      <c r="FR60" s="17">
        <v>1</v>
      </c>
      <c r="FS60" s="17"/>
      <c r="FT60" s="17"/>
      <c r="FU60" s="17"/>
      <c r="FV60" s="17"/>
      <c r="FW60" s="17"/>
      <c r="FX60" s="17"/>
      <c r="FY60" s="17">
        <v>1</v>
      </c>
      <c r="FZ60" s="17">
        <v>1</v>
      </c>
      <c r="GA60" s="17"/>
      <c r="GB60" s="17"/>
      <c r="GC60" s="17">
        <v>2</v>
      </c>
      <c r="GD60" s="17"/>
      <c r="GE60" s="17">
        <v>1</v>
      </c>
      <c r="GF60" s="17"/>
      <c r="GG60" s="17">
        <v>1</v>
      </c>
      <c r="GH60" s="17"/>
      <c r="GI60" s="17">
        <v>1</v>
      </c>
      <c r="GJ60" s="17"/>
      <c r="GK60" s="17"/>
      <c r="GL60" s="17"/>
      <c r="GM60" s="17"/>
      <c r="GN60" s="17"/>
      <c r="GO60" s="17"/>
      <c r="GP60" s="17"/>
      <c r="GQ60" s="17"/>
      <c r="GR60" s="17"/>
      <c r="GS60" s="17">
        <v>1</v>
      </c>
      <c r="GT60" s="17"/>
      <c r="GU60" s="17"/>
      <c r="GV60" s="17"/>
      <c r="GW60" s="17"/>
      <c r="GX60" s="17">
        <v>1</v>
      </c>
      <c r="GY60" s="17">
        <v>1</v>
      </c>
      <c r="GZ60" s="17">
        <v>1</v>
      </c>
      <c r="HA60" s="17"/>
      <c r="HB60" s="17"/>
      <c r="HC60" s="17"/>
      <c r="HD60" s="17"/>
      <c r="HE60" s="17">
        <v>1</v>
      </c>
      <c r="HF60" s="17"/>
      <c r="HG60" s="17">
        <v>2</v>
      </c>
      <c r="HH60" s="17">
        <v>1</v>
      </c>
      <c r="HI60" s="17"/>
      <c r="HJ60" s="17">
        <v>1</v>
      </c>
      <c r="HK60" s="17">
        <v>1</v>
      </c>
      <c r="HL60" s="17">
        <v>1</v>
      </c>
      <c r="HM60" s="17"/>
      <c r="HN60" s="17"/>
      <c r="HO60" s="17"/>
      <c r="HP60" s="17"/>
      <c r="HQ60" s="17"/>
      <c r="HR60" s="17"/>
      <c r="HS60" s="17"/>
      <c r="HT60" s="17">
        <v>1</v>
      </c>
      <c r="HU60" s="17">
        <v>1</v>
      </c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>
        <v>1</v>
      </c>
      <c r="IG60" s="17"/>
      <c r="IH60" s="17"/>
      <c r="II60" s="17"/>
      <c r="IJ60" s="17"/>
      <c r="IK60" s="17">
        <v>1</v>
      </c>
      <c r="IL60" s="17">
        <v>1</v>
      </c>
      <c r="IM60" s="17"/>
      <c r="IN60" s="17">
        <v>1</v>
      </c>
      <c r="IO60" s="17"/>
      <c r="IP60" s="17"/>
      <c r="IQ60" s="17"/>
      <c r="IR60" s="17"/>
      <c r="IS60" s="17"/>
      <c r="IT60" s="17"/>
      <c r="IU60" s="17"/>
      <c r="IV60" s="17">
        <v>1</v>
      </c>
      <c r="IW60" s="17"/>
      <c r="IX60" s="17"/>
      <c r="IY60" s="17"/>
      <c r="IZ60" s="17"/>
      <c r="JA60" s="17">
        <v>1</v>
      </c>
      <c r="JB60" s="17"/>
      <c r="JC60" s="17"/>
      <c r="JD60" s="17"/>
      <c r="JE60" s="17"/>
      <c r="JF60" s="17"/>
      <c r="JG60" s="17">
        <v>2</v>
      </c>
      <c r="JH60" s="17"/>
      <c r="JI60" s="17">
        <v>2</v>
      </c>
      <c r="JJ60" s="17"/>
      <c r="JK60" s="17">
        <v>2</v>
      </c>
      <c r="JL60" s="17"/>
      <c r="JM60" s="17">
        <v>2</v>
      </c>
      <c r="JN60" s="17">
        <v>2</v>
      </c>
      <c r="JO60" s="17"/>
      <c r="JP60" s="17"/>
      <c r="JQ60" s="17">
        <v>2</v>
      </c>
      <c r="JR60" s="17">
        <v>2</v>
      </c>
      <c r="JS60" s="17"/>
      <c r="JT60" s="17"/>
      <c r="JU60" s="17"/>
      <c r="JV60" s="17"/>
      <c r="JW60" s="17"/>
      <c r="JX60" s="17">
        <v>2</v>
      </c>
      <c r="JY60" s="17"/>
      <c r="JZ60" s="17">
        <v>2</v>
      </c>
      <c r="KA60" s="17"/>
      <c r="KB60" s="17"/>
      <c r="KC60" s="17">
        <v>1</v>
      </c>
      <c r="KD60" s="17">
        <v>2</v>
      </c>
      <c r="KE60" s="17">
        <v>1</v>
      </c>
      <c r="KF60" s="17"/>
      <c r="KG60" s="17">
        <v>1</v>
      </c>
      <c r="KH60" s="17">
        <v>2</v>
      </c>
      <c r="KI60" s="17"/>
      <c r="KJ60" s="17">
        <v>2</v>
      </c>
      <c r="KK60" s="17">
        <v>2</v>
      </c>
      <c r="KL60" s="17">
        <v>2</v>
      </c>
      <c r="KM60" s="17">
        <v>2</v>
      </c>
      <c r="KN60" s="17"/>
      <c r="KO60" s="17"/>
      <c r="KP60" s="17">
        <v>2</v>
      </c>
      <c r="KQ60" s="17"/>
      <c r="KR60" s="17"/>
      <c r="KS60" s="17"/>
      <c r="KT60" s="17"/>
      <c r="KU60" s="17"/>
      <c r="KV60" s="17">
        <v>1</v>
      </c>
      <c r="KW60" s="17">
        <v>1</v>
      </c>
      <c r="KX60" s="17"/>
      <c r="KY60" s="17">
        <v>1</v>
      </c>
      <c r="KZ60" s="17"/>
      <c r="LA60" s="17">
        <v>1</v>
      </c>
      <c r="LB60" s="17"/>
      <c r="LC60" s="17">
        <v>1</v>
      </c>
      <c r="LD60" s="17"/>
      <c r="LE60" s="17"/>
      <c r="LF60" s="17"/>
      <c r="LG60" s="17">
        <v>1</v>
      </c>
      <c r="LH60" s="17">
        <v>1</v>
      </c>
      <c r="LI60" s="17">
        <v>1</v>
      </c>
      <c r="LJ60" s="17"/>
      <c r="LK60" s="17">
        <v>1</v>
      </c>
      <c r="LL60" s="17">
        <v>1</v>
      </c>
      <c r="LM60" s="17"/>
      <c r="LN60" s="17"/>
      <c r="LO60" s="17"/>
      <c r="LP60" s="17">
        <v>1</v>
      </c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>
        <v>1</v>
      </c>
      <c r="MI60" s="17">
        <v>1</v>
      </c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>
        <v>1</v>
      </c>
      <c r="NH60" s="17"/>
      <c r="NI60" s="17">
        <v>1</v>
      </c>
      <c r="NJ60" s="17"/>
      <c r="NK60" s="17"/>
      <c r="NL60" s="17"/>
      <c r="NM60" s="17">
        <v>1</v>
      </c>
      <c r="NN60" s="17">
        <v>1</v>
      </c>
      <c r="NO60" s="17">
        <v>1</v>
      </c>
      <c r="NP60" s="17"/>
      <c r="NQ60" s="17"/>
      <c r="NR60" s="17">
        <v>1</v>
      </c>
      <c r="NS60" s="17"/>
      <c r="NT60" s="17">
        <v>1</v>
      </c>
      <c r="NU60" s="17"/>
      <c r="NV60" s="17">
        <v>2</v>
      </c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>
        <v>1</v>
      </c>
      <c r="OJ60" s="17"/>
      <c r="OK60" s="17">
        <v>1</v>
      </c>
      <c r="OL60" s="17"/>
      <c r="OM60" s="17">
        <v>1</v>
      </c>
      <c r="ON60" s="17">
        <v>1</v>
      </c>
      <c r="OO60" s="17"/>
      <c r="OP60" s="17">
        <v>1</v>
      </c>
      <c r="OQ60" s="17">
        <v>1</v>
      </c>
      <c r="OR60" s="17">
        <v>1</v>
      </c>
      <c r="OS60" s="17"/>
      <c r="OT60" s="17"/>
      <c r="OU60" s="17"/>
      <c r="OV60" s="17"/>
      <c r="OW60" s="17">
        <v>1</v>
      </c>
      <c r="OX60" s="17"/>
      <c r="OY60" s="17"/>
      <c r="OZ60" s="17"/>
      <c r="PA60" s="17">
        <v>1</v>
      </c>
      <c r="PB60" s="17"/>
      <c r="PC60" s="17"/>
      <c r="PD60" s="17"/>
      <c r="PE60" s="17"/>
      <c r="PF60" s="17">
        <v>2</v>
      </c>
      <c r="PG60" s="17">
        <v>1</v>
      </c>
      <c r="PH60" s="17"/>
      <c r="PI60" s="17">
        <v>2</v>
      </c>
      <c r="PJ60" s="17"/>
      <c r="PK60" s="17">
        <v>1</v>
      </c>
      <c r="PL60" s="17"/>
      <c r="PM60" s="17"/>
      <c r="PN60" s="17">
        <v>2</v>
      </c>
      <c r="PO60" s="17"/>
      <c r="PP60" s="17"/>
      <c r="PQ60" s="17">
        <v>2</v>
      </c>
      <c r="PR60" s="17"/>
      <c r="PS60" s="17"/>
      <c r="PT60" s="17"/>
      <c r="PU60" s="17"/>
      <c r="PV60" s="17"/>
      <c r="PW60" s="17" t="s">
        <v>506</v>
      </c>
      <c r="PX60" s="17" t="s">
        <v>506</v>
      </c>
      <c r="PY60" s="17"/>
      <c r="PZ60" s="17"/>
      <c r="QA60" s="17"/>
      <c r="QB60" s="17" t="s">
        <v>506</v>
      </c>
      <c r="QC60" s="17" t="s">
        <v>507</v>
      </c>
      <c r="QD60" s="17" t="s">
        <v>508</v>
      </c>
      <c r="QE60" s="17" t="s">
        <v>507</v>
      </c>
      <c r="QF60" s="17" t="s">
        <v>506</v>
      </c>
      <c r="QG60" s="17" t="s">
        <v>506</v>
      </c>
      <c r="QH60" s="17" t="s">
        <v>508</v>
      </c>
      <c r="QI60" s="17">
        <v>1</v>
      </c>
      <c r="QJ60" s="17">
        <v>1</v>
      </c>
      <c r="QK60" s="17">
        <v>0</v>
      </c>
      <c r="QL60" s="17">
        <v>1</v>
      </c>
      <c r="QM60" s="17">
        <v>1</v>
      </c>
      <c r="QN60" s="17">
        <v>1</v>
      </c>
      <c r="QO60" s="17">
        <v>1</v>
      </c>
      <c r="QP60" s="17">
        <v>1</v>
      </c>
      <c r="QQ60" s="17">
        <v>1</v>
      </c>
      <c r="QR60" s="17">
        <v>1</v>
      </c>
      <c r="QS60" s="17">
        <v>1</v>
      </c>
      <c r="QT60" s="17">
        <v>1</v>
      </c>
      <c r="QU60" s="17">
        <v>1</v>
      </c>
      <c r="QV60" s="17">
        <v>0</v>
      </c>
      <c r="QW60" s="17">
        <v>1</v>
      </c>
      <c r="QX60" s="17">
        <v>1</v>
      </c>
      <c r="QY60" s="17">
        <v>0</v>
      </c>
      <c r="QZ60" s="17">
        <v>1</v>
      </c>
      <c r="RA60" s="17">
        <v>0</v>
      </c>
      <c r="RB60" s="17">
        <v>1</v>
      </c>
      <c r="RC60" s="17">
        <v>0</v>
      </c>
      <c r="RD60" s="17">
        <v>0</v>
      </c>
      <c r="RE60" s="17">
        <v>1</v>
      </c>
      <c r="RF60" s="17">
        <v>0</v>
      </c>
      <c r="RG60" s="17">
        <v>0</v>
      </c>
      <c r="RH60" s="17">
        <v>1</v>
      </c>
      <c r="RI60" s="17">
        <v>0</v>
      </c>
      <c r="RJ60" s="17">
        <v>0</v>
      </c>
      <c r="RK60" s="17">
        <v>1</v>
      </c>
      <c r="RL60" s="17">
        <v>1</v>
      </c>
      <c r="RM60" s="17">
        <v>1</v>
      </c>
      <c r="RN60" s="17">
        <v>1</v>
      </c>
      <c r="RO60" s="17">
        <v>1</v>
      </c>
      <c r="RP60" s="17">
        <v>1</v>
      </c>
      <c r="RQ60" s="17">
        <v>1</v>
      </c>
      <c r="RR60" s="17">
        <v>0</v>
      </c>
      <c r="RS60" s="17">
        <v>1</v>
      </c>
      <c r="RT60" s="17">
        <v>0</v>
      </c>
      <c r="RU60" s="17">
        <v>0</v>
      </c>
      <c r="RV60" s="17">
        <v>0</v>
      </c>
      <c r="RW60" s="17"/>
      <c r="RX60" s="17">
        <v>1</v>
      </c>
      <c r="RY60" s="17">
        <v>0</v>
      </c>
      <c r="RZ60" s="17">
        <v>0</v>
      </c>
      <c r="SA60" s="17">
        <v>1</v>
      </c>
      <c r="SB60" s="17">
        <v>1</v>
      </c>
      <c r="SC60" s="17">
        <v>0</v>
      </c>
      <c r="SD60" s="17">
        <v>1</v>
      </c>
      <c r="SE60" s="17">
        <v>1</v>
      </c>
      <c r="SF60" s="17">
        <v>0</v>
      </c>
      <c r="SG60" s="17">
        <v>1</v>
      </c>
      <c r="SH60" s="17">
        <v>1</v>
      </c>
      <c r="SI60" s="17">
        <v>10061</v>
      </c>
      <c r="SJ60" s="19">
        <f t="shared" si="3"/>
        <v>74</v>
      </c>
      <c r="SK60" s="19">
        <f t="shared" si="4"/>
        <v>120</v>
      </c>
      <c r="SL60" s="19">
        <f t="shared" si="5"/>
        <v>46</v>
      </c>
      <c r="SM60" s="9">
        <v>10061</v>
      </c>
      <c r="SN60" s="9" t="s">
        <v>509</v>
      </c>
      <c r="SO60" s="10">
        <v>2</v>
      </c>
      <c r="SP60" s="9">
        <v>2</v>
      </c>
      <c r="SQ60" s="11" t="s">
        <v>519</v>
      </c>
      <c r="SR60" s="9">
        <v>16</v>
      </c>
      <c r="SS60" s="28">
        <v>63</v>
      </c>
      <c r="ST60" s="28">
        <v>15</v>
      </c>
      <c r="SU60" s="28">
        <v>125</v>
      </c>
      <c r="SV60" s="28">
        <v>32</v>
      </c>
      <c r="SW60" s="28">
        <v>46</v>
      </c>
      <c r="SX60" s="28">
        <v>66</v>
      </c>
      <c r="SY60" s="29">
        <v>42</v>
      </c>
      <c r="SZ60" s="30">
        <v>58</v>
      </c>
      <c r="TA60" s="31">
        <v>16</v>
      </c>
      <c r="TB60" s="31">
        <v>23</v>
      </c>
    </row>
    <row r="61" spans="1:522" ht="15.75" customHeight="1" x14ac:dyDescent="0.2">
      <c r="A61" s="17">
        <v>10063</v>
      </c>
      <c r="B61" s="17" t="s">
        <v>501</v>
      </c>
      <c r="C61" s="17" t="s">
        <v>502</v>
      </c>
      <c r="D61" s="17" t="s">
        <v>512</v>
      </c>
      <c r="E61" s="17" t="s">
        <v>504</v>
      </c>
      <c r="F61" s="18">
        <v>38056</v>
      </c>
      <c r="G61" s="18">
        <v>38519</v>
      </c>
      <c r="H61" s="14">
        <f t="shared" si="2"/>
        <v>15</v>
      </c>
      <c r="I61" s="17" t="s">
        <v>505</v>
      </c>
      <c r="J61" s="17">
        <v>1</v>
      </c>
      <c r="K61" s="17">
        <v>1</v>
      </c>
      <c r="L61" s="17">
        <v>1</v>
      </c>
      <c r="M61" s="17"/>
      <c r="N61" s="17"/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/>
      <c r="V61" s="17"/>
      <c r="W61" s="17">
        <v>1</v>
      </c>
      <c r="X61" s="17"/>
      <c r="Y61" s="17">
        <v>1</v>
      </c>
      <c r="Z61" s="17"/>
      <c r="AA61" s="17"/>
      <c r="AB61" s="17"/>
      <c r="AC61" s="17"/>
      <c r="AD61" s="17"/>
      <c r="AE61" s="17"/>
      <c r="AF61" s="17">
        <v>1</v>
      </c>
      <c r="AG61" s="17">
        <v>1</v>
      </c>
      <c r="AH61" s="17">
        <v>1</v>
      </c>
      <c r="AI61" s="17"/>
      <c r="AJ61" s="17"/>
      <c r="AK61" s="17">
        <v>1</v>
      </c>
      <c r="AL61" s="17">
        <v>1</v>
      </c>
      <c r="AM61" s="17">
        <v>1</v>
      </c>
      <c r="AN61" s="17">
        <v>1</v>
      </c>
      <c r="AO61" s="17" t="s">
        <v>506</v>
      </c>
      <c r="AP61" s="17" t="s">
        <v>507</v>
      </c>
      <c r="AQ61" s="17">
        <v>1</v>
      </c>
      <c r="AR61" s="17"/>
      <c r="AS61" s="17">
        <v>2</v>
      </c>
      <c r="AT61" s="17"/>
      <c r="AU61" s="17">
        <v>2</v>
      </c>
      <c r="AV61" s="17">
        <v>1</v>
      </c>
      <c r="AW61" s="17">
        <v>1</v>
      </c>
      <c r="AX61" s="17">
        <v>2</v>
      </c>
      <c r="AY61" s="17"/>
      <c r="AZ61" s="17">
        <v>2</v>
      </c>
      <c r="BA61" s="17">
        <v>1</v>
      </c>
      <c r="BB61" s="17">
        <v>1</v>
      </c>
      <c r="BC61" s="17"/>
      <c r="BD61" s="17">
        <v>1</v>
      </c>
      <c r="BE61" s="17">
        <v>1</v>
      </c>
      <c r="BF61" s="17">
        <v>1</v>
      </c>
      <c r="BG61" s="17">
        <v>1</v>
      </c>
      <c r="BH61" s="17">
        <v>1</v>
      </c>
      <c r="BI61" s="17">
        <v>1</v>
      </c>
      <c r="BJ61" s="17">
        <v>2</v>
      </c>
      <c r="BK61" s="17">
        <v>1</v>
      </c>
      <c r="BL61" s="17">
        <v>1</v>
      </c>
      <c r="BM61" s="17"/>
      <c r="BN61" s="17">
        <v>2</v>
      </c>
      <c r="BO61" s="17">
        <v>1</v>
      </c>
      <c r="BP61" s="17">
        <v>1</v>
      </c>
      <c r="BQ61" s="17">
        <v>1</v>
      </c>
      <c r="BR61" s="17">
        <v>1</v>
      </c>
      <c r="BS61" s="17">
        <v>1</v>
      </c>
      <c r="BT61" s="17">
        <v>1</v>
      </c>
      <c r="BU61" s="17"/>
      <c r="BV61" s="17">
        <v>1</v>
      </c>
      <c r="BW61" s="17">
        <v>1</v>
      </c>
      <c r="BX61" s="17"/>
      <c r="BY61" s="17">
        <v>1</v>
      </c>
      <c r="BZ61" s="17">
        <v>1</v>
      </c>
      <c r="CA61" s="17">
        <v>1</v>
      </c>
      <c r="CB61" s="17">
        <v>1</v>
      </c>
      <c r="CC61" s="17"/>
      <c r="CD61" s="17">
        <v>1</v>
      </c>
      <c r="CE61" s="17"/>
      <c r="CF61" s="17"/>
      <c r="CG61" s="17">
        <v>1</v>
      </c>
      <c r="CH61" s="17">
        <v>1</v>
      </c>
      <c r="CI61" s="17"/>
      <c r="CJ61" s="17"/>
      <c r="CK61" s="17">
        <v>1</v>
      </c>
      <c r="CL61" s="17"/>
      <c r="CM61" s="17">
        <v>1</v>
      </c>
      <c r="CN61" s="17">
        <v>1</v>
      </c>
      <c r="CO61" s="17">
        <v>1</v>
      </c>
      <c r="CP61" s="17">
        <v>1</v>
      </c>
      <c r="CQ61" s="17">
        <v>1</v>
      </c>
      <c r="CR61" s="17">
        <v>1</v>
      </c>
      <c r="CS61" s="17">
        <v>1</v>
      </c>
      <c r="CT61" s="17">
        <v>1</v>
      </c>
      <c r="CU61" s="17">
        <v>1</v>
      </c>
      <c r="CV61" s="17">
        <v>2</v>
      </c>
      <c r="CW61" s="17">
        <v>1</v>
      </c>
      <c r="CX61" s="17">
        <v>1</v>
      </c>
      <c r="CY61" s="17">
        <v>1</v>
      </c>
      <c r="CZ61" s="17">
        <v>1</v>
      </c>
      <c r="DA61" s="17"/>
      <c r="DB61" s="17">
        <v>1</v>
      </c>
      <c r="DC61" s="17"/>
      <c r="DD61" s="17">
        <v>1</v>
      </c>
      <c r="DE61" s="17">
        <v>1</v>
      </c>
      <c r="DF61" s="17">
        <v>1</v>
      </c>
      <c r="DG61" s="17"/>
      <c r="DH61" s="17">
        <v>1</v>
      </c>
      <c r="DI61" s="17"/>
      <c r="DJ61" s="17">
        <v>1</v>
      </c>
      <c r="DK61" s="17"/>
      <c r="DL61" s="17"/>
      <c r="DM61" s="17">
        <v>2</v>
      </c>
      <c r="DN61" s="17">
        <v>1</v>
      </c>
      <c r="DO61" s="17">
        <v>2</v>
      </c>
      <c r="DP61" s="17">
        <v>1</v>
      </c>
      <c r="DQ61" s="17">
        <v>1</v>
      </c>
      <c r="DR61" s="17">
        <v>1</v>
      </c>
      <c r="DS61" s="17">
        <v>1</v>
      </c>
      <c r="DT61" s="17"/>
      <c r="DU61" s="17"/>
      <c r="DV61" s="17"/>
      <c r="DW61" s="17">
        <v>1</v>
      </c>
      <c r="DX61" s="17"/>
      <c r="DY61" s="17"/>
      <c r="DZ61" s="17"/>
      <c r="EA61" s="17">
        <v>1</v>
      </c>
      <c r="EB61" s="17">
        <v>1</v>
      </c>
      <c r="EC61" s="17">
        <v>1</v>
      </c>
      <c r="ED61" s="17"/>
      <c r="EE61" s="17"/>
      <c r="EF61" s="17">
        <v>1</v>
      </c>
      <c r="EG61" s="17">
        <v>1</v>
      </c>
      <c r="EH61" s="17">
        <v>1</v>
      </c>
      <c r="EI61" s="17">
        <v>1</v>
      </c>
      <c r="EJ61" s="17">
        <v>1</v>
      </c>
      <c r="EK61" s="17">
        <v>1</v>
      </c>
      <c r="EL61" s="17">
        <v>1</v>
      </c>
      <c r="EM61" s="17">
        <v>1</v>
      </c>
      <c r="EN61" s="17"/>
      <c r="EO61" s="17">
        <v>2</v>
      </c>
      <c r="EP61" s="17">
        <v>1</v>
      </c>
      <c r="EQ61" s="17"/>
      <c r="ER61" s="17"/>
      <c r="ES61" s="17">
        <v>1</v>
      </c>
      <c r="ET61" s="17">
        <v>1</v>
      </c>
      <c r="EU61" s="17">
        <v>1</v>
      </c>
      <c r="EV61" s="17">
        <v>1</v>
      </c>
      <c r="EW61" s="17"/>
      <c r="EX61" s="17">
        <v>2</v>
      </c>
      <c r="EY61" s="17"/>
      <c r="EZ61" s="17">
        <v>1</v>
      </c>
      <c r="FA61" s="17">
        <v>1</v>
      </c>
      <c r="FB61" s="17">
        <v>1</v>
      </c>
      <c r="FC61" s="17">
        <v>2</v>
      </c>
      <c r="FD61" s="17">
        <v>1</v>
      </c>
      <c r="FE61" s="17">
        <v>1</v>
      </c>
      <c r="FF61" s="17"/>
      <c r="FG61" s="17">
        <v>1</v>
      </c>
      <c r="FH61" s="17">
        <v>1</v>
      </c>
      <c r="FI61" s="17">
        <v>1</v>
      </c>
      <c r="FJ61" s="17">
        <v>1</v>
      </c>
      <c r="FK61" s="17">
        <v>1</v>
      </c>
      <c r="FL61" s="17"/>
      <c r="FM61" s="17">
        <v>1</v>
      </c>
      <c r="FN61" s="17"/>
      <c r="FO61" s="17">
        <v>1</v>
      </c>
      <c r="FP61" s="17"/>
      <c r="FQ61" s="17">
        <v>1</v>
      </c>
      <c r="FR61" s="17">
        <v>1</v>
      </c>
      <c r="FS61" s="17"/>
      <c r="FT61" s="17">
        <v>1</v>
      </c>
      <c r="FU61" s="17">
        <v>1</v>
      </c>
      <c r="FV61" s="17">
        <v>1</v>
      </c>
      <c r="FW61" s="17">
        <v>1</v>
      </c>
      <c r="FX61" s="17">
        <v>1</v>
      </c>
      <c r="FY61" s="17">
        <v>2</v>
      </c>
      <c r="FZ61" s="17">
        <v>2</v>
      </c>
      <c r="GA61" s="17">
        <v>1</v>
      </c>
      <c r="GB61" s="17"/>
      <c r="GC61" s="17">
        <v>2</v>
      </c>
      <c r="GD61" s="17"/>
      <c r="GE61" s="17"/>
      <c r="GF61" s="17"/>
      <c r="GG61" s="17">
        <v>2</v>
      </c>
      <c r="GH61" s="17"/>
      <c r="GI61" s="17">
        <v>1</v>
      </c>
      <c r="GJ61" s="17"/>
      <c r="GK61" s="17">
        <v>1</v>
      </c>
      <c r="GL61" s="17"/>
      <c r="GM61" s="17"/>
      <c r="GN61" s="17"/>
      <c r="GO61" s="17"/>
      <c r="GP61" s="17"/>
      <c r="GQ61" s="17"/>
      <c r="GR61" s="17">
        <v>1</v>
      </c>
      <c r="GS61" s="17"/>
      <c r="GT61" s="17"/>
      <c r="GU61" s="17"/>
      <c r="GV61" s="17"/>
      <c r="GW61" s="17">
        <v>1</v>
      </c>
      <c r="GX61" s="17">
        <v>1</v>
      </c>
      <c r="GY61" s="17">
        <v>1</v>
      </c>
      <c r="GZ61" s="17"/>
      <c r="HA61" s="17"/>
      <c r="HB61" s="17"/>
      <c r="HC61" s="17">
        <v>2</v>
      </c>
      <c r="HD61" s="17"/>
      <c r="HE61" s="17">
        <v>1</v>
      </c>
      <c r="HF61" s="17">
        <v>1</v>
      </c>
      <c r="HG61" s="17">
        <v>1</v>
      </c>
      <c r="HH61" s="17">
        <v>1</v>
      </c>
      <c r="HI61" s="17">
        <v>1</v>
      </c>
      <c r="HJ61" s="17"/>
      <c r="HK61" s="17">
        <v>1</v>
      </c>
      <c r="HL61" s="17">
        <v>1</v>
      </c>
      <c r="HM61" s="17">
        <v>1</v>
      </c>
      <c r="HN61" s="17">
        <v>1</v>
      </c>
      <c r="HO61" s="17">
        <v>1</v>
      </c>
      <c r="HP61" s="17">
        <v>1</v>
      </c>
      <c r="HQ61" s="17"/>
      <c r="HR61" s="17">
        <v>1</v>
      </c>
      <c r="HS61" s="17">
        <v>1</v>
      </c>
      <c r="HT61" s="17"/>
      <c r="HU61" s="17">
        <v>1</v>
      </c>
      <c r="HV61" s="17"/>
      <c r="HW61" s="17">
        <v>1</v>
      </c>
      <c r="HX61" s="17"/>
      <c r="HY61" s="17"/>
      <c r="HZ61" s="17"/>
      <c r="IA61" s="17"/>
      <c r="IB61" s="17"/>
      <c r="IC61" s="17"/>
      <c r="ID61" s="17"/>
      <c r="IE61" s="17"/>
      <c r="IF61" s="17">
        <v>1</v>
      </c>
      <c r="IG61" s="17"/>
      <c r="IH61" s="17">
        <v>1</v>
      </c>
      <c r="II61" s="17">
        <v>1</v>
      </c>
      <c r="IJ61" s="17">
        <v>1</v>
      </c>
      <c r="IK61" s="17">
        <v>1</v>
      </c>
      <c r="IL61" s="17">
        <v>1</v>
      </c>
      <c r="IM61" s="17"/>
      <c r="IN61" s="17">
        <v>1</v>
      </c>
      <c r="IO61" s="17"/>
      <c r="IP61" s="17">
        <v>1</v>
      </c>
      <c r="IQ61" s="17"/>
      <c r="IR61" s="17">
        <v>1</v>
      </c>
      <c r="IS61" s="17">
        <v>1</v>
      </c>
      <c r="IT61" s="17">
        <v>1</v>
      </c>
      <c r="IU61" s="17"/>
      <c r="IV61" s="17">
        <v>2</v>
      </c>
      <c r="IW61" s="17">
        <v>1</v>
      </c>
      <c r="IX61" s="17">
        <v>2</v>
      </c>
      <c r="IY61" s="17">
        <v>1</v>
      </c>
      <c r="IZ61" s="17">
        <v>1</v>
      </c>
      <c r="JA61" s="17">
        <v>1</v>
      </c>
      <c r="JB61" s="17">
        <v>1</v>
      </c>
      <c r="JC61" s="17"/>
      <c r="JD61" s="17"/>
      <c r="JE61" s="17">
        <v>2</v>
      </c>
      <c r="JF61" s="17"/>
      <c r="JG61" s="17"/>
      <c r="JH61" s="17">
        <v>1</v>
      </c>
      <c r="JI61" s="17"/>
      <c r="JJ61" s="17"/>
      <c r="JK61" s="17">
        <v>2</v>
      </c>
      <c r="JL61" s="17">
        <v>1</v>
      </c>
      <c r="JM61" s="17">
        <v>1</v>
      </c>
      <c r="JN61" s="17">
        <v>1</v>
      </c>
      <c r="JO61" s="17"/>
      <c r="JP61" s="17">
        <v>1</v>
      </c>
      <c r="JQ61" s="17"/>
      <c r="JR61" s="17">
        <v>1</v>
      </c>
      <c r="JS61" s="17">
        <v>1</v>
      </c>
      <c r="JT61" s="17"/>
      <c r="JU61" s="17"/>
      <c r="JV61" s="17"/>
      <c r="JW61" s="17"/>
      <c r="JX61" s="17">
        <v>1</v>
      </c>
      <c r="JY61" s="17">
        <v>1</v>
      </c>
      <c r="JZ61" s="17">
        <v>1</v>
      </c>
      <c r="KA61" s="17">
        <v>1</v>
      </c>
      <c r="KB61" s="17"/>
      <c r="KC61" s="17"/>
      <c r="KD61" s="17">
        <v>2</v>
      </c>
      <c r="KE61" s="17">
        <v>1</v>
      </c>
      <c r="KF61" s="17">
        <v>1</v>
      </c>
      <c r="KG61" s="17">
        <v>1</v>
      </c>
      <c r="KH61" s="17">
        <v>1</v>
      </c>
      <c r="KI61" s="17"/>
      <c r="KJ61" s="17">
        <v>1</v>
      </c>
      <c r="KK61" s="17"/>
      <c r="KL61" s="17">
        <v>1</v>
      </c>
      <c r="KM61" s="17"/>
      <c r="KN61" s="17"/>
      <c r="KO61" s="17"/>
      <c r="KP61" s="17">
        <v>2</v>
      </c>
      <c r="KQ61" s="17">
        <v>1</v>
      </c>
      <c r="KR61" s="17"/>
      <c r="KS61" s="17"/>
      <c r="KT61" s="17"/>
      <c r="KU61" s="17">
        <v>1</v>
      </c>
      <c r="KV61" s="17"/>
      <c r="KW61" s="17">
        <v>2</v>
      </c>
      <c r="KX61" s="17"/>
      <c r="KY61" s="17"/>
      <c r="KZ61" s="17"/>
      <c r="LA61" s="17">
        <v>1</v>
      </c>
      <c r="LB61" s="17">
        <v>1</v>
      </c>
      <c r="LC61" s="17">
        <v>1</v>
      </c>
      <c r="LD61" s="17">
        <v>1</v>
      </c>
      <c r="LE61" s="17"/>
      <c r="LF61" s="17">
        <v>1</v>
      </c>
      <c r="LG61" s="17">
        <v>1</v>
      </c>
      <c r="LH61" s="17">
        <v>1</v>
      </c>
      <c r="LI61" s="17">
        <v>2</v>
      </c>
      <c r="LJ61" s="17">
        <v>1</v>
      </c>
      <c r="LK61" s="17"/>
      <c r="LL61" s="17">
        <v>1</v>
      </c>
      <c r="LM61" s="17"/>
      <c r="LN61" s="17"/>
      <c r="LO61" s="17">
        <v>1</v>
      </c>
      <c r="LP61" s="17">
        <v>2</v>
      </c>
      <c r="LQ61" s="17"/>
      <c r="LR61" s="17"/>
      <c r="LS61" s="17">
        <v>1</v>
      </c>
      <c r="LT61" s="17"/>
      <c r="LU61" s="17">
        <v>1</v>
      </c>
      <c r="LV61" s="17">
        <v>1</v>
      </c>
      <c r="LW61" s="17"/>
      <c r="LX61" s="17">
        <v>1</v>
      </c>
      <c r="LY61" s="17">
        <v>1</v>
      </c>
      <c r="LZ61" s="17"/>
      <c r="MA61" s="17">
        <v>1</v>
      </c>
      <c r="MB61" s="17">
        <v>1</v>
      </c>
      <c r="MC61" s="17"/>
      <c r="MD61" s="17">
        <v>2</v>
      </c>
      <c r="ME61" s="17">
        <v>1</v>
      </c>
      <c r="MF61" s="17">
        <v>1</v>
      </c>
      <c r="MG61" s="17">
        <v>1</v>
      </c>
      <c r="MH61" s="17">
        <v>1</v>
      </c>
      <c r="MI61" s="17">
        <v>1</v>
      </c>
      <c r="MJ61" s="17">
        <v>1</v>
      </c>
      <c r="MK61" s="17"/>
      <c r="ML61" s="17"/>
      <c r="MM61" s="17">
        <v>2</v>
      </c>
      <c r="MN61" s="17">
        <v>1</v>
      </c>
      <c r="MO61" s="17"/>
      <c r="MP61" s="17">
        <v>1</v>
      </c>
      <c r="MQ61" s="17">
        <v>1</v>
      </c>
      <c r="MR61" s="17">
        <v>1</v>
      </c>
      <c r="MS61" s="17"/>
      <c r="MT61" s="17"/>
      <c r="MU61" s="17"/>
      <c r="MV61" s="17">
        <v>1</v>
      </c>
      <c r="MW61" s="17">
        <v>1</v>
      </c>
      <c r="MX61" s="17"/>
      <c r="MY61" s="17"/>
      <c r="MZ61" s="17"/>
      <c r="NA61" s="17"/>
      <c r="NB61" s="17">
        <v>2</v>
      </c>
      <c r="NC61" s="17">
        <v>1</v>
      </c>
      <c r="ND61" s="17"/>
      <c r="NE61" s="17"/>
      <c r="NF61" s="17"/>
      <c r="NG61" s="17">
        <v>1</v>
      </c>
      <c r="NH61" s="17">
        <v>1</v>
      </c>
      <c r="NI61" s="17"/>
      <c r="NJ61" s="17">
        <v>1</v>
      </c>
      <c r="NK61" s="17"/>
      <c r="NL61" s="17"/>
      <c r="NM61" s="17">
        <v>1</v>
      </c>
      <c r="NN61" s="17">
        <v>1</v>
      </c>
      <c r="NO61" s="17"/>
      <c r="NP61" s="17"/>
      <c r="NQ61" s="17"/>
      <c r="NR61" s="17">
        <v>1</v>
      </c>
      <c r="NS61" s="17">
        <v>2</v>
      </c>
      <c r="NT61" s="17">
        <v>2</v>
      </c>
      <c r="NU61" s="17"/>
      <c r="NV61" s="17"/>
      <c r="NW61" s="17">
        <v>1</v>
      </c>
      <c r="NX61" s="17"/>
      <c r="NY61" s="17"/>
      <c r="NZ61" s="17"/>
      <c r="OA61" s="17"/>
      <c r="OB61" s="17"/>
      <c r="OC61" s="17"/>
      <c r="OD61" s="17"/>
      <c r="OE61" s="17"/>
      <c r="OF61" s="17"/>
      <c r="OG61" s="17">
        <v>1</v>
      </c>
      <c r="OH61" s="17">
        <v>1</v>
      </c>
      <c r="OI61" s="17">
        <v>1</v>
      </c>
      <c r="OJ61" s="17"/>
      <c r="OK61" s="17">
        <v>1</v>
      </c>
      <c r="OL61" s="17">
        <v>1</v>
      </c>
      <c r="OM61" s="17"/>
      <c r="ON61" s="17"/>
      <c r="OO61" s="17"/>
      <c r="OP61" s="17"/>
      <c r="OQ61" s="17"/>
      <c r="OR61" s="17"/>
      <c r="OS61" s="17"/>
      <c r="OT61" s="17">
        <v>2</v>
      </c>
      <c r="OU61" s="17">
        <v>2</v>
      </c>
      <c r="OV61" s="17"/>
      <c r="OW61" s="17"/>
      <c r="OX61" s="17"/>
      <c r="OY61" s="17">
        <v>1</v>
      </c>
      <c r="OZ61" s="17"/>
      <c r="PA61" s="17">
        <v>1</v>
      </c>
      <c r="PB61" s="17">
        <v>1</v>
      </c>
      <c r="PC61" s="17"/>
      <c r="PD61" s="17"/>
      <c r="PE61" s="17">
        <v>1</v>
      </c>
      <c r="PF61" s="17">
        <v>2</v>
      </c>
      <c r="PG61" s="17"/>
      <c r="PH61" s="17">
        <v>1</v>
      </c>
      <c r="PI61" s="17">
        <v>2</v>
      </c>
      <c r="PJ61" s="17">
        <v>2</v>
      </c>
      <c r="PK61" s="17">
        <v>1</v>
      </c>
      <c r="PL61" s="17"/>
      <c r="PM61" s="17"/>
      <c r="PN61" s="17">
        <v>1</v>
      </c>
      <c r="PO61" s="17"/>
      <c r="PP61" s="17"/>
      <c r="PQ61" s="17">
        <v>1</v>
      </c>
      <c r="PR61" s="17"/>
      <c r="PS61" s="17"/>
      <c r="PT61" s="17"/>
      <c r="PU61" s="17"/>
      <c r="PV61" s="17"/>
      <c r="PW61" s="17" t="s">
        <v>507</v>
      </c>
      <c r="PX61" s="17" t="s">
        <v>507</v>
      </c>
      <c r="PY61" s="17" t="s">
        <v>507</v>
      </c>
      <c r="PZ61" s="17" t="s">
        <v>507</v>
      </c>
      <c r="QA61" s="17" t="s">
        <v>507</v>
      </c>
      <c r="QB61" s="17" t="s">
        <v>508</v>
      </c>
      <c r="QC61" s="17" t="s">
        <v>508</v>
      </c>
      <c r="QD61" s="17" t="s">
        <v>508</v>
      </c>
      <c r="QE61" s="17" t="s">
        <v>508</v>
      </c>
      <c r="QF61" s="17" t="s">
        <v>508</v>
      </c>
      <c r="QG61" s="17" t="s">
        <v>508</v>
      </c>
      <c r="QH61" s="17" t="s">
        <v>507</v>
      </c>
      <c r="QI61" s="17">
        <v>1</v>
      </c>
      <c r="QJ61" s="17"/>
      <c r="QK61" s="17">
        <v>0</v>
      </c>
      <c r="QL61" s="17">
        <v>1</v>
      </c>
      <c r="QM61" s="17">
        <v>1</v>
      </c>
      <c r="QN61" s="17">
        <v>0</v>
      </c>
      <c r="QO61" s="17">
        <v>1</v>
      </c>
      <c r="QP61" s="17">
        <v>1</v>
      </c>
      <c r="QQ61" s="17">
        <v>1</v>
      </c>
      <c r="QR61" s="17">
        <v>0</v>
      </c>
      <c r="QS61" s="17">
        <v>0</v>
      </c>
      <c r="QT61" s="17">
        <v>1</v>
      </c>
      <c r="QU61" s="17">
        <v>0</v>
      </c>
      <c r="QV61" s="17">
        <v>0</v>
      </c>
      <c r="QW61" s="17">
        <v>0</v>
      </c>
      <c r="QX61" s="17">
        <v>0</v>
      </c>
      <c r="QY61" s="17">
        <v>0</v>
      </c>
      <c r="QZ61" s="17">
        <v>0</v>
      </c>
      <c r="RA61" s="17">
        <v>0</v>
      </c>
      <c r="RB61" s="17">
        <v>1</v>
      </c>
      <c r="RC61" s="17">
        <v>1</v>
      </c>
      <c r="RD61" s="17">
        <v>0</v>
      </c>
      <c r="RE61" s="17">
        <v>0</v>
      </c>
      <c r="RF61" s="17">
        <v>0</v>
      </c>
      <c r="RG61" s="17">
        <v>0</v>
      </c>
      <c r="RH61" s="17">
        <v>0</v>
      </c>
      <c r="RI61" s="17">
        <v>0</v>
      </c>
      <c r="RJ61" s="17">
        <v>0</v>
      </c>
      <c r="RK61" s="17">
        <v>0</v>
      </c>
      <c r="RL61" s="17">
        <v>0</v>
      </c>
      <c r="RM61" s="17">
        <v>0</v>
      </c>
      <c r="RN61" s="17">
        <v>0</v>
      </c>
      <c r="RO61" s="17">
        <v>1</v>
      </c>
      <c r="RP61" s="17">
        <v>0</v>
      </c>
      <c r="RQ61" s="17">
        <v>0</v>
      </c>
      <c r="RR61" s="17">
        <v>0</v>
      </c>
      <c r="RS61" s="17">
        <v>1</v>
      </c>
      <c r="RT61" s="17">
        <v>0</v>
      </c>
      <c r="RU61" s="17">
        <v>0</v>
      </c>
      <c r="RV61" s="17">
        <v>0</v>
      </c>
      <c r="RW61" s="17">
        <v>1</v>
      </c>
      <c r="RX61" s="17">
        <v>1</v>
      </c>
      <c r="RY61" s="17">
        <v>1</v>
      </c>
      <c r="RZ61" s="17">
        <v>0</v>
      </c>
      <c r="SA61" s="17">
        <v>1</v>
      </c>
      <c r="SB61" s="17">
        <v>1</v>
      </c>
      <c r="SC61" s="17">
        <v>0</v>
      </c>
      <c r="SD61" s="17">
        <v>0</v>
      </c>
      <c r="SE61" s="17">
        <v>1</v>
      </c>
      <c r="SF61" s="17">
        <v>1</v>
      </c>
      <c r="SG61" s="17">
        <v>0</v>
      </c>
      <c r="SH61" s="17">
        <v>0</v>
      </c>
      <c r="SI61" s="17">
        <v>10063</v>
      </c>
      <c r="SJ61" s="19">
        <f t="shared" si="3"/>
        <v>196</v>
      </c>
      <c r="SK61" s="19">
        <f t="shared" si="4"/>
        <v>232</v>
      </c>
      <c r="SL61" s="19">
        <f t="shared" si="5"/>
        <v>36</v>
      </c>
      <c r="SM61" s="9">
        <v>10063</v>
      </c>
      <c r="SN61" s="9" t="s">
        <v>504</v>
      </c>
      <c r="SO61" s="10">
        <v>1</v>
      </c>
      <c r="SP61" s="9">
        <v>1</v>
      </c>
      <c r="SQ61" s="13" t="s">
        <v>517</v>
      </c>
      <c r="SR61" s="9">
        <v>16</v>
      </c>
      <c r="SS61" s="28">
        <v>63</v>
      </c>
      <c r="ST61" s="28">
        <v>15</v>
      </c>
      <c r="SU61" s="28">
        <v>232</v>
      </c>
      <c r="SV61" s="28">
        <v>82</v>
      </c>
      <c r="SW61" s="28">
        <v>37</v>
      </c>
      <c r="SX61" s="28">
        <v>74</v>
      </c>
      <c r="SY61" s="29">
        <v>24</v>
      </c>
      <c r="SZ61" s="30">
        <v>12</v>
      </c>
      <c r="TA61" s="31">
        <v>15</v>
      </c>
      <c r="TB61" s="31">
        <v>28</v>
      </c>
    </row>
    <row r="62" spans="1:522" ht="15.75" customHeight="1" x14ac:dyDescent="0.2">
      <c r="A62" s="17">
        <v>10064</v>
      </c>
      <c r="B62" s="17" t="s">
        <v>501</v>
      </c>
      <c r="C62" s="17" t="s">
        <v>502</v>
      </c>
      <c r="D62" s="17" t="s">
        <v>512</v>
      </c>
      <c r="E62" s="17" t="s">
        <v>504</v>
      </c>
      <c r="F62" s="18">
        <v>38081</v>
      </c>
      <c r="G62" s="18">
        <v>38575</v>
      </c>
      <c r="H62" s="14">
        <f t="shared" si="2"/>
        <v>16</v>
      </c>
      <c r="I62" s="17" t="s">
        <v>505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/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/>
      <c r="W62" s="17">
        <v>1</v>
      </c>
      <c r="X62" s="17"/>
      <c r="Y62" s="17">
        <v>1</v>
      </c>
      <c r="Z62" s="17">
        <v>1</v>
      </c>
      <c r="AA62" s="17">
        <v>1</v>
      </c>
      <c r="AB62" s="17">
        <v>1</v>
      </c>
      <c r="AC62" s="17"/>
      <c r="AD62" s="17"/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/>
      <c r="AK62" s="17">
        <v>1</v>
      </c>
      <c r="AL62" s="17">
        <v>1</v>
      </c>
      <c r="AM62" s="17"/>
      <c r="AN62" s="17">
        <v>1</v>
      </c>
      <c r="AO62" s="17" t="s">
        <v>507</v>
      </c>
      <c r="AP62" s="17" t="s">
        <v>507</v>
      </c>
      <c r="AQ62" s="17"/>
      <c r="AR62" s="17">
        <v>2</v>
      </c>
      <c r="AS62" s="17"/>
      <c r="AT62" s="17"/>
      <c r="AU62" s="17">
        <v>2</v>
      </c>
      <c r="AV62" s="17"/>
      <c r="AW62" s="17">
        <v>2</v>
      </c>
      <c r="AX62" s="17">
        <v>2</v>
      </c>
      <c r="AY62" s="17">
        <v>2</v>
      </c>
      <c r="AZ62" s="17">
        <v>2</v>
      </c>
      <c r="BA62" s="17">
        <v>2</v>
      </c>
      <c r="BB62" s="17"/>
      <c r="BC62" s="17"/>
      <c r="BD62" s="17"/>
      <c r="BE62" s="17"/>
      <c r="BF62" s="17">
        <v>2</v>
      </c>
      <c r="BG62" s="17"/>
      <c r="BH62" s="17"/>
      <c r="BI62" s="17"/>
      <c r="BJ62" s="17">
        <v>1</v>
      </c>
      <c r="BK62" s="17"/>
      <c r="BL62" s="17"/>
      <c r="BM62" s="17"/>
      <c r="BN62" s="17">
        <v>2</v>
      </c>
      <c r="BO62" s="17"/>
      <c r="BP62" s="17">
        <v>2</v>
      </c>
      <c r="BQ62" s="17">
        <v>1</v>
      </c>
      <c r="BR62" s="17">
        <v>2</v>
      </c>
      <c r="BS62" s="17"/>
      <c r="BT62" s="17">
        <v>1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>
        <v>1</v>
      </c>
      <c r="CI62" s="17"/>
      <c r="CJ62" s="17">
        <v>2</v>
      </c>
      <c r="CK62" s="17"/>
      <c r="CL62" s="17">
        <v>2</v>
      </c>
      <c r="CM62" s="17">
        <v>2</v>
      </c>
      <c r="CN62" s="17">
        <v>2</v>
      </c>
      <c r="CO62" s="17">
        <v>2</v>
      </c>
      <c r="CP62" s="17">
        <v>2</v>
      </c>
      <c r="CQ62" s="17">
        <v>2</v>
      </c>
      <c r="CR62" s="17">
        <v>2</v>
      </c>
      <c r="CS62" s="17">
        <v>2</v>
      </c>
      <c r="CT62" s="17">
        <v>2</v>
      </c>
      <c r="CU62" s="17">
        <v>2</v>
      </c>
      <c r="CV62" s="17">
        <v>2</v>
      </c>
      <c r="CW62" s="17">
        <v>2</v>
      </c>
      <c r="CX62" s="17"/>
      <c r="CY62" s="17">
        <v>2</v>
      </c>
      <c r="CZ62" s="17">
        <v>2</v>
      </c>
      <c r="DA62" s="17"/>
      <c r="DB62" s="17"/>
      <c r="DC62" s="17">
        <v>2</v>
      </c>
      <c r="DD62" s="17">
        <v>2</v>
      </c>
      <c r="DE62" s="17">
        <v>2</v>
      </c>
      <c r="DF62" s="17">
        <v>1</v>
      </c>
      <c r="DG62" s="17"/>
      <c r="DH62" s="17"/>
      <c r="DI62" s="17"/>
      <c r="DJ62" s="17">
        <v>1</v>
      </c>
      <c r="DK62" s="17">
        <v>2</v>
      </c>
      <c r="DL62" s="17">
        <v>2</v>
      </c>
      <c r="DM62" s="17">
        <v>2</v>
      </c>
      <c r="DN62" s="17"/>
      <c r="DO62" s="17"/>
      <c r="DP62" s="17">
        <v>2</v>
      </c>
      <c r="DQ62" s="17">
        <v>2</v>
      </c>
      <c r="DR62" s="17">
        <v>1</v>
      </c>
      <c r="DS62" s="17"/>
      <c r="DT62" s="17">
        <v>2</v>
      </c>
      <c r="DU62" s="17">
        <v>1</v>
      </c>
      <c r="DV62" s="17"/>
      <c r="DW62" s="17"/>
      <c r="DX62" s="17"/>
      <c r="DY62" s="17">
        <v>2</v>
      </c>
      <c r="DZ62" s="17"/>
      <c r="EA62" s="17"/>
      <c r="EB62" s="17">
        <v>2</v>
      </c>
      <c r="EC62" s="17">
        <v>2</v>
      </c>
      <c r="ED62" s="17">
        <v>1</v>
      </c>
      <c r="EE62" s="17"/>
      <c r="EF62" s="17"/>
      <c r="EG62" s="17">
        <v>2</v>
      </c>
      <c r="EH62" s="17"/>
      <c r="EI62" s="17"/>
      <c r="EJ62" s="17"/>
      <c r="EK62" s="17"/>
      <c r="EL62" s="17"/>
      <c r="EM62" s="17">
        <v>1</v>
      </c>
      <c r="EN62" s="17"/>
      <c r="EO62" s="17">
        <v>2</v>
      </c>
      <c r="EP62" s="17"/>
      <c r="EQ62" s="17"/>
      <c r="ER62" s="17"/>
      <c r="ES62" s="17"/>
      <c r="ET62" s="17">
        <v>1</v>
      </c>
      <c r="EU62" s="17">
        <v>2</v>
      </c>
      <c r="EV62" s="17">
        <v>2</v>
      </c>
      <c r="EW62" s="17"/>
      <c r="EX62" s="17">
        <v>2</v>
      </c>
      <c r="EY62" s="17"/>
      <c r="EZ62" s="17">
        <v>1</v>
      </c>
      <c r="FA62" s="17"/>
      <c r="FB62" s="17">
        <v>1</v>
      </c>
      <c r="FC62" s="17"/>
      <c r="FD62" s="17">
        <v>2</v>
      </c>
      <c r="FE62" s="17">
        <v>2</v>
      </c>
      <c r="FF62" s="17"/>
      <c r="FG62" s="17">
        <v>1</v>
      </c>
      <c r="FH62" s="17"/>
      <c r="FI62" s="17">
        <v>2</v>
      </c>
      <c r="FJ62" s="17">
        <v>2</v>
      </c>
      <c r="FK62" s="17">
        <v>1</v>
      </c>
      <c r="FL62" s="17"/>
      <c r="FM62" s="17"/>
      <c r="FN62" s="17">
        <v>2</v>
      </c>
      <c r="FO62" s="17">
        <v>2</v>
      </c>
      <c r="FP62" s="17">
        <v>2</v>
      </c>
      <c r="FQ62" s="17">
        <v>2</v>
      </c>
      <c r="FR62" s="17">
        <v>2</v>
      </c>
      <c r="FS62" s="17">
        <v>1</v>
      </c>
      <c r="FT62" s="17"/>
      <c r="FU62" s="17">
        <v>2</v>
      </c>
      <c r="FV62" s="17"/>
      <c r="FW62" s="17">
        <v>2</v>
      </c>
      <c r="FX62" s="17">
        <v>1</v>
      </c>
      <c r="FY62" s="17"/>
      <c r="FZ62" s="17">
        <v>1</v>
      </c>
      <c r="GA62" s="17">
        <v>1</v>
      </c>
      <c r="GB62" s="17"/>
      <c r="GC62" s="17">
        <v>2</v>
      </c>
      <c r="GD62" s="17"/>
      <c r="GE62" s="17">
        <v>2</v>
      </c>
      <c r="GF62" s="17"/>
      <c r="GG62" s="17">
        <v>2</v>
      </c>
      <c r="GH62" s="17"/>
      <c r="GI62" s="17">
        <v>2</v>
      </c>
      <c r="GJ62" s="17"/>
      <c r="GK62" s="17">
        <v>2</v>
      </c>
      <c r="GL62" s="17">
        <v>1</v>
      </c>
      <c r="GM62" s="17">
        <v>2</v>
      </c>
      <c r="GN62" s="17">
        <v>1</v>
      </c>
      <c r="GO62" s="17"/>
      <c r="GP62" s="17">
        <v>1</v>
      </c>
      <c r="GQ62" s="17">
        <v>1</v>
      </c>
      <c r="GR62" s="17"/>
      <c r="GS62" s="17"/>
      <c r="GT62" s="17"/>
      <c r="GU62" s="17"/>
      <c r="GV62" s="17"/>
      <c r="GW62" s="17">
        <v>2</v>
      </c>
      <c r="GX62" s="17">
        <v>2</v>
      </c>
      <c r="GY62" s="17">
        <v>1</v>
      </c>
      <c r="GZ62" s="17">
        <v>1</v>
      </c>
      <c r="HA62" s="17">
        <v>1</v>
      </c>
      <c r="HB62" s="17">
        <v>1</v>
      </c>
      <c r="HC62" s="17"/>
      <c r="HD62" s="17">
        <v>2</v>
      </c>
      <c r="HE62" s="17">
        <v>1</v>
      </c>
      <c r="HF62" s="17">
        <v>1</v>
      </c>
      <c r="HG62" s="17">
        <v>1</v>
      </c>
      <c r="HH62" s="17">
        <v>1</v>
      </c>
      <c r="HI62" s="17">
        <v>1</v>
      </c>
      <c r="HJ62" s="17"/>
      <c r="HK62" s="17"/>
      <c r="HL62" s="17">
        <v>2</v>
      </c>
      <c r="HM62" s="17">
        <v>1</v>
      </c>
      <c r="HN62" s="17">
        <v>1</v>
      </c>
      <c r="HO62" s="17"/>
      <c r="HP62" s="17">
        <v>1</v>
      </c>
      <c r="HQ62" s="17"/>
      <c r="HR62" s="17"/>
      <c r="HS62" s="17"/>
      <c r="HT62" s="17">
        <v>2</v>
      </c>
      <c r="HU62" s="17">
        <v>1</v>
      </c>
      <c r="HV62" s="17"/>
      <c r="HW62" s="17"/>
      <c r="HX62" s="17">
        <v>2</v>
      </c>
      <c r="HY62" s="17">
        <v>1</v>
      </c>
      <c r="HZ62" s="17">
        <v>1</v>
      </c>
      <c r="IA62" s="17">
        <v>1</v>
      </c>
      <c r="IB62" s="17"/>
      <c r="IC62" s="17"/>
      <c r="ID62" s="17"/>
      <c r="IE62" s="17"/>
      <c r="IF62" s="17">
        <v>1</v>
      </c>
      <c r="IG62" s="17"/>
      <c r="IH62" s="17">
        <v>1</v>
      </c>
      <c r="II62" s="17"/>
      <c r="IJ62" s="17">
        <v>2</v>
      </c>
      <c r="IK62" s="17">
        <v>2</v>
      </c>
      <c r="IL62" s="17">
        <v>1</v>
      </c>
      <c r="IM62" s="17"/>
      <c r="IN62" s="17">
        <v>2</v>
      </c>
      <c r="IO62" s="17"/>
      <c r="IP62" s="17">
        <v>2</v>
      </c>
      <c r="IQ62" s="17"/>
      <c r="IR62" s="17"/>
      <c r="IS62" s="17">
        <v>2</v>
      </c>
      <c r="IT62" s="17">
        <v>2</v>
      </c>
      <c r="IU62" s="17"/>
      <c r="IV62" s="17">
        <v>1</v>
      </c>
      <c r="IW62" s="17"/>
      <c r="IX62" s="17"/>
      <c r="IY62" s="17">
        <v>1</v>
      </c>
      <c r="IZ62" s="17">
        <v>2</v>
      </c>
      <c r="JA62" s="17">
        <v>2</v>
      </c>
      <c r="JB62" s="17"/>
      <c r="JC62" s="17">
        <v>1</v>
      </c>
      <c r="JD62" s="17"/>
      <c r="JE62" s="17">
        <v>2</v>
      </c>
      <c r="JF62" s="17"/>
      <c r="JG62" s="17">
        <v>2</v>
      </c>
      <c r="JH62" s="17">
        <v>2</v>
      </c>
      <c r="JI62" s="17"/>
      <c r="JJ62" s="17"/>
      <c r="JK62" s="17">
        <v>2</v>
      </c>
      <c r="JL62" s="17">
        <v>2</v>
      </c>
      <c r="JM62" s="17">
        <v>2</v>
      </c>
      <c r="JN62" s="17">
        <v>2</v>
      </c>
      <c r="JO62" s="17"/>
      <c r="JP62" s="17"/>
      <c r="JQ62" s="17">
        <v>2</v>
      </c>
      <c r="JR62" s="17"/>
      <c r="JS62" s="17">
        <v>2</v>
      </c>
      <c r="JT62" s="17"/>
      <c r="JU62" s="17"/>
      <c r="JV62" s="17"/>
      <c r="JW62" s="17"/>
      <c r="JX62" s="17"/>
      <c r="JY62" s="17">
        <v>1</v>
      </c>
      <c r="JZ62" s="17">
        <v>2</v>
      </c>
      <c r="KA62" s="17">
        <v>1</v>
      </c>
      <c r="KB62" s="17">
        <v>1</v>
      </c>
      <c r="KC62" s="17">
        <v>2</v>
      </c>
      <c r="KD62" s="17">
        <v>2</v>
      </c>
      <c r="KE62" s="17"/>
      <c r="KF62" s="17">
        <v>1</v>
      </c>
      <c r="KG62" s="17">
        <v>1</v>
      </c>
      <c r="KH62" s="17">
        <v>2</v>
      </c>
      <c r="KI62" s="17"/>
      <c r="KJ62" s="17"/>
      <c r="KK62" s="17">
        <v>2</v>
      </c>
      <c r="KL62" s="17">
        <v>2</v>
      </c>
      <c r="KM62" s="17">
        <v>2</v>
      </c>
      <c r="KN62" s="17"/>
      <c r="KO62" s="17">
        <v>1</v>
      </c>
      <c r="KP62" s="17">
        <v>2</v>
      </c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>
        <v>10064</v>
      </c>
      <c r="SJ62" s="19">
        <f t="shared" si="3"/>
        <v>51</v>
      </c>
      <c r="SK62" s="19">
        <f t="shared" si="4"/>
        <v>142</v>
      </c>
      <c r="SL62" s="19">
        <f t="shared" si="5"/>
        <v>91</v>
      </c>
      <c r="SM62" s="9">
        <v>10064</v>
      </c>
      <c r="SN62" s="9" t="s">
        <v>504</v>
      </c>
      <c r="SO62" s="10">
        <v>1</v>
      </c>
      <c r="SP62" s="9">
        <v>1</v>
      </c>
      <c r="SQ62" s="11" t="s">
        <v>519</v>
      </c>
      <c r="SR62" s="9">
        <v>16</v>
      </c>
      <c r="SS62" s="28" t="s">
        <v>563</v>
      </c>
      <c r="ST62" s="28">
        <v>16</v>
      </c>
      <c r="SU62" s="28">
        <v>181</v>
      </c>
      <c r="SV62" s="28">
        <v>53</v>
      </c>
      <c r="SW62" s="28">
        <v>105</v>
      </c>
      <c r="SX62" s="28">
        <v>91</v>
      </c>
      <c r="SY62" s="29">
        <v>40</v>
      </c>
      <c r="SZ62" s="30">
        <v>50</v>
      </c>
      <c r="TA62" s="31">
        <v>21</v>
      </c>
      <c r="TB62" s="31">
        <v>45</v>
      </c>
    </row>
    <row r="63" spans="1:522" ht="15.75" customHeight="1" x14ac:dyDescent="0.2">
      <c r="A63" s="17">
        <v>10065</v>
      </c>
      <c r="B63" s="17" t="s">
        <v>501</v>
      </c>
      <c r="C63" s="17" t="s">
        <v>502</v>
      </c>
      <c r="D63" s="17" t="s">
        <v>512</v>
      </c>
      <c r="E63" s="17" t="s">
        <v>504</v>
      </c>
      <c r="F63" s="18">
        <v>38072</v>
      </c>
      <c r="G63" s="18">
        <v>38543</v>
      </c>
      <c r="H63" s="14">
        <f t="shared" si="2"/>
        <v>15</v>
      </c>
      <c r="I63" s="17" t="s">
        <v>505</v>
      </c>
      <c r="J63" s="17">
        <v>1</v>
      </c>
      <c r="K63" s="17">
        <v>1</v>
      </c>
      <c r="L63" s="17">
        <v>1</v>
      </c>
      <c r="M63" s="17">
        <v>1</v>
      </c>
      <c r="N63" s="17"/>
      <c r="O63" s="17"/>
      <c r="P63" s="17"/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/>
      <c r="W63" s="17"/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/>
      <c r="AE63" s="17">
        <v>1</v>
      </c>
      <c r="AF63" s="17">
        <v>1</v>
      </c>
      <c r="AG63" s="17">
        <v>1</v>
      </c>
      <c r="AH63" s="17">
        <v>1</v>
      </c>
      <c r="AI63" s="17"/>
      <c r="AJ63" s="17"/>
      <c r="AK63" s="17">
        <v>1</v>
      </c>
      <c r="AL63" s="17"/>
      <c r="AM63" s="17">
        <v>1</v>
      </c>
      <c r="AN63" s="17">
        <v>1</v>
      </c>
      <c r="AO63" s="17" t="s">
        <v>506</v>
      </c>
      <c r="AP63" s="17" t="s">
        <v>507</v>
      </c>
      <c r="AQ63" s="17">
        <v>2</v>
      </c>
      <c r="AR63" s="17">
        <v>1</v>
      </c>
      <c r="AS63" s="17">
        <v>2</v>
      </c>
      <c r="AT63" s="17">
        <v>2</v>
      </c>
      <c r="AU63" s="17">
        <v>1</v>
      </c>
      <c r="AV63" s="17">
        <v>2</v>
      </c>
      <c r="AW63" s="17"/>
      <c r="AX63" s="17">
        <v>2</v>
      </c>
      <c r="AY63" s="17"/>
      <c r="AZ63" s="17">
        <v>2</v>
      </c>
      <c r="BA63" s="17">
        <v>2</v>
      </c>
      <c r="BB63" s="17">
        <v>1</v>
      </c>
      <c r="BC63" s="17">
        <v>2</v>
      </c>
      <c r="BD63" s="17"/>
      <c r="BE63" s="17">
        <v>1</v>
      </c>
      <c r="BF63" s="17">
        <v>2</v>
      </c>
      <c r="BG63" s="17">
        <v>2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/>
      <c r="BN63" s="17">
        <v>2</v>
      </c>
      <c r="BO63" s="17">
        <v>1</v>
      </c>
      <c r="BP63" s="17">
        <v>2</v>
      </c>
      <c r="BQ63" s="17">
        <v>1</v>
      </c>
      <c r="BR63" s="17">
        <v>2</v>
      </c>
      <c r="BS63" s="17">
        <v>2</v>
      </c>
      <c r="BT63" s="17"/>
      <c r="BU63" s="17"/>
      <c r="BV63" s="17">
        <v>1</v>
      </c>
      <c r="BW63" s="17">
        <v>1</v>
      </c>
      <c r="BX63" s="17"/>
      <c r="BY63" s="17"/>
      <c r="BZ63" s="17"/>
      <c r="CA63" s="17">
        <v>1</v>
      </c>
      <c r="CB63" s="17"/>
      <c r="CC63" s="17"/>
      <c r="CD63" s="17">
        <v>2</v>
      </c>
      <c r="CE63" s="17">
        <v>1</v>
      </c>
      <c r="CF63" s="17">
        <v>1</v>
      </c>
      <c r="CG63" s="17">
        <v>1</v>
      </c>
      <c r="CH63" s="17">
        <v>2</v>
      </c>
      <c r="CI63" s="17"/>
      <c r="CJ63" s="17">
        <v>1</v>
      </c>
      <c r="CK63" s="17"/>
      <c r="CL63" s="17">
        <v>1</v>
      </c>
      <c r="CM63" s="17">
        <v>2</v>
      </c>
      <c r="CN63" s="17">
        <v>2</v>
      </c>
      <c r="CO63" s="17">
        <v>1</v>
      </c>
      <c r="CP63" s="17">
        <v>2</v>
      </c>
      <c r="CQ63" s="17">
        <v>1</v>
      </c>
      <c r="CR63" s="17"/>
      <c r="CS63" s="17">
        <v>1</v>
      </c>
      <c r="CT63" s="17">
        <v>2</v>
      </c>
      <c r="CU63" s="17">
        <v>2</v>
      </c>
      <c r="CV63" s="17">
        <v>2</v>
      </c>
      <c r="CW63" s="17">
        <v>1</v>
      </c>
      <c r="CX63" s="17">
        <v>1</v>
      </c>
      <c r="CY63" s="17"/>
      <c r="CZ63" s="17">
        <v>2</v>
      </c>
      <c r="DA63" s="17">
        <v>2</v>
      </c>
      <c r="DB63" s="17">
        <v>2</v>
      </c>
      <c r="DC63" s="17"/>
      <c r="DD63" s="17">
        <v>2</v>
      </c>
      <c r="DE63" s="17">
        <v>2</v>
      </c>
      <c r="DF63" s="17">
        <v>2</v>
      </c>
      <c r="DG63" s="17"/>
      <c r="DH63" s="17"/>
      <c r="DI63" s="17"/>
      <c r="DJ63" s="17">
        <v>1</v>
      </c>
      <c r="DK63" s="17"/>
      <c r="DL63" s="17">
        <v>2</v>
      </c>
      <c r="DM63" s="17">
        <v>2</v>
      </c>
      <c r="DN63" s="17">
        <v>2</v>
      </c>
      <c r="DO63" s="17"/>
      <c r="DP63" s="17">
        <v>2</v>
      </c>
      <c r="DQ63" s="17">
        <v>2</v>
      </c>
      <c r="DR63" s="17">
        <v>1</v>
      </c>
      <c r="DS63" s="17"/>
      <c r="DT63" s="17">
        <v>2</v>
      </c>
      <c r="DU63" s="17">
        <v>2</v>
      </c>
      <c r="DV63" s="17">
        <v>1</v>
      </c>
      <c r="DW63" s="17"/>
      <c r="DX63" s="17"/>
      <c r="DY63" s="17">
        <v>2</v>
      </c>
      <c r="DZ63" s="17"/>
      <c r="EA63" s="17"/>
      <c r="EB63" s="17"/>
      <c r="EC63" s="17">
        <v>1</v>
      </c>
      <c r="ED63" s="17"/>
      <c r="EE63" s="17">
        <v>1</v>
      </c>
      <c r="EF63" s="17"/>
      <c r="EG63" s="17">
        <v>2</v>
      </c>
      <c r="EH63" s="17"/>
      <c r="EI63" s="17">
        <v>2</v>
      </c>
      <c r="EJ63" s="17"/>
      <c r="EK63" s="17">
        <v>1</v>
      </c>
      <c r="EL63" s="17"/>
      <c r="EM63" s="17">
        <v>2</v>
      </c>
      <c r="EN63" s="17"/>
      <c r="EO63" s="17">
        <v>2</v>
      </c>
      <c r="EP63" s="17"/>
      <c r="EQ63" s="17"/>
      <c r="ER63" s="17"/>
      <c r="ES63" s="17">
        <v>1</v>
      </c>
      <c r="ET63" s="17">
        <v>1</v>
      </c>
      <c r="EU63" s="17">
        <v>1</v>
      </c>
      <c r="EV63" s="17">
        <v>1</v>
      </c>
      <c r="EW63" s="17"/>
      <c r="EX63" s="17">
        <v>1</v>
      </c>
      <c r="EY63" s="17"/>
      <c r="EZ63" s="17"/>
      <c r="FA63" s="17">
        <v>1</v>
      </c>
      <c r="FB63" s="17">
        <v>1</v>
      </c>
      <c r="FC63" s="17"/>
      <c r="FD63" s="17">
        <v>1</v>
      </c>
      <c r="FE63" s="17">
        <v>1</v>
      </c>
      <c r="FF63" s="17">
        <v>1</v>
      </c>
      <c r="FG63" s="17">
        <v>1</v>
      </c>
      <c r="FH63" s="17">
        <v>1</v>
      </c>
      <c r="FI63" s="17">
        <v>1</v>
      </c>
      <c r="FJ63" s="17">
        <v>1</v>
      </c>
      <c r="FK63" s="17">
        <v>1</v>
      </c>
      <c r="FL63" s="17"/>
      <c r="FM63" s="17">
        <v>1</v>
      </c>
      <c r="FN63" s="17">
        <v>1</v>
      </c>
      <c r="FO63" s="17">
        <v>2</v>
      </c>
      <c r="FP63" s="17"/>
      <c r="FQ63" s="17">
        <v>1</v>
      </c>
      <c r="FR63" s="17">
        <v>2</v>
      </c>
      <c r="FS63" s="17">
        <v>1</v>
      </c>
      <c r="FT63" s="17"/>
      <c r="FU63" s="17"/>
      <c r="FV63" s="17">
        <v>2</v>
      </c>
      <c r="FW63" s="17">
        <v>1</v>
      </c>
      <c r="FX63" s="17"/>
      <c r="FY63" s="17"/>
      <c r="FZ63" s="17">
        <v>1</v>
      </c>
      <c r="GA63" s="17"/>
      <c r="GB63" s="17"/>
      <c r="GC63" s="17"/>
      <c r="GD63" s="17"/>
      <c r="GE63" s="17"/>
      <c r="GF63" s="17"/>
      <c r="GG63" s="17">
        <v>2</v>
      </c>
      <c r="GH63" s="17"/>
      <c r="GI63" s="17">
        <v>1</v>
      </c>
      <c r="GJ63" s="17"/>
      <c r="GK63" s="17">
        <v>2</v>
      </c>
      <c r="GL63" s="17"/>
      <c r="GM63" s="17"/>
      <c r="GN63" s="17">
        <v>1</v>
      </c>
      <c r="GO63" s="17"/>
      <c r="GP63" s="17">
        <v>1</v>
      </c>
      <c r="GQ63" s="17">
        <v>1</v>
      </c>
      <c r="GR63" s="17"/>
      <c r="GS63" s="17">
        <v>1</v>
      </c>
      <c r="GT63" s="17"/>
      <c r="GU63" s="17"/>
      <c r="GV63" s="17"/>
      <c r="GW63" s="17"/>
      <c r="GX63" s="17"/>
      <c r="GY63" s="17">
        <v>2</v>
      </c>
      <c r="GZ63" s="17">
        <v>1</v>
      </c>
      <c r="HA63" s="17">
        <v>1</v>
      </c>
      <c r="HB63" s="17">
        <v>1</v>
      </c>
      <c r="HC63" s="17">
        <v>2</v>
      </c>
      <c r="HD63" s="17">
        <v>1</v>
      </c>
      <c r="HE63" s="17">
        <v>1</v>
      </c>
      <c r="HF63" s="17">
        <v>1</v>
      </c>
      <c r="HG63" s="17">
        <v>1</v>
      </c>
      <c r="HH63" s="17">
        <v>1</v>
      </c>
      <c r="HI63" s="17">
        <v>1</v>
      </c>
      <c r="HJ63" s="17"/>
      <c r="HK63" s="17"/>
      <c r="HL63" s="17">
        <v>1</v>
      </c>
      <c r="HM63" s="17">
        <v>1</v>
      </c>
      <c r="HN63" s="17">
        <v>1</v>
      </c>
      <c r="HO63" s="17">
        <v>1</v>
      </c>
      <c r="HP63" s="17">
        <v>1</v>
      </c>
      <c r="HQ63" s="17"/>
      <c r="HR63" s="17">
        <v>1</v>
      </c>
      <c r="HS63" s="17"/>
      <c r="HT63" s="17"/>
      <c r="HU63" s="17"/>
      <c r="HV63" s="17"/>
      <c r="HW63" s="17">
        <v>1</v>
      </c>
      <c r="HX63" s="17">
        <v>1</v>
      </c>
      <c r="HY63" s="17"/>
      <c r="HZ63" s="17">
        <v>1</v>
      </c>
      <c r="IA63" s="17"/>
      <c r="IB63" s="17">
        <v>1</v>
      </c>
      <c r="IC63" s="17">
        <v>1</v>
      </c>
      <c r="ID63" s="17"/>
      <c r="IE63" s="17"/>
      <c r="IF63" s="17">
        <v>2</v>
      </c>
      <c r="IG63" s="17"/>
      <c r="IH63" s="17">
        <v>1</v>
      </c>
      <c r="II63" s="17">
        <v>1</v>
      </c>
      <c r="IJ63" s="17">
        <v>2</v>
      </c>
      <c r="IK63" s="17">
        <v>2</v>
      </c>
      <c r="IL63" s="17"/>
      <c r="IM63" s="17"/>
      <c r="IN63" s="17"/>
      <c r="IO63" s="17">
        <v>1</v>
      </c>
      <c r="IP63" s="17"/>
      <c r="IQ63" s="17"/>
      <c r="IR63" s="17"/>
      <c r="IS63" s="17"/>
      <c r="IT63" s="17">
        <v>1</v>
      </c>
      <c r="IU63" s="17"/>
      <c r="IV63" s="17"/>
      <c r="IW63" s="17"/>
      <c r="IX63" s="17"/>
      <c r="IY63" s="17">
        <v>1</v>
      </c>
      <c r="IZ63" s="17">
        <v>2</v>
      </c>
      <c r="JA63" s="17"/>
      <c r="JB63" s="17"/>
      <c r="JC63" s="17"/>
      <c r="JD63" s="17"/>
      <c r="JE63" s="17">
        <v>2</v>
      </c>
      <c r="JF63" s="17"/>
      <c r="JG63" s="17">
        <v>2</v>
      </c>
      <c r="JH63" s="17"/>
      <c r="JI63" s="17">
        <v>2</v>
      </c>
      <c r="JJ63" s="17"/>
      <c r="JK63" s="17">
        <v>2</v>
      </c>
      <c r="JL63" s="17"/>
      <c r="JM63" s="17">
        <v>1</v>
      </c>
      <c r="JN63" s="17">
        <v>1</v>
      </c>
      <c r="JO63" s="17"/>
      <c r="JP63" s="17"/>
      <c r="JQ63" s="17">
        <v>2</v>
      </c>
      <c r="JR63" s="17">
        <v>2</v>
      </c>
      <c r="JS63" s="17"/>
      <c r="JT63" s="17"/>
      <c r="JU63" s="17"/>
      <c r="JV63" s="17"/>
      <c r="JW63" s="17"/>
      <c r="JX63" s="17">
        <v>1</v>
      </c>
      <c r="JY63" s="17"/>
      <c r="JZ63" s="17">
        <v>2</v>
      </c>
      <c r="KA63" s="17"/>
      <c r="KB63" s="17"/>
      <c r="KC63" s="17">
        <v>1</v>
      </c>
      <c r="KD63" s="17">
        <v>2</v>
      </c>
      <c r="KE63" s="17"/>
      <c r="KF63" s="17"/>
      <c r="KG63" s="17">
        <v>1</v>
      </c>
      <c r="KH63" s="17">
        <v>1</v>
      </c>
      <c r="KI63" s="17"/>
      <c r="KJ63" s="17">
        <v>2</v>
      </c>
      <c r="KK63" s="17"/>
      <c r="KL63" s="17"/>
      <c r="KM63" s="17">
        <v>2</v>
      </c>
      <c r="KN63" s="17">
        <v>1</v>
      </c>
      <c r="KO63" s="17">
        <v>2</v>
      </c>
      <c r="KP63" s="17"/>
      <c r="KQ63" s="17"/>
      <c r="KR63" s="17"/>
      <c r="KS63" s="17"/>
      <c r="KT63" s="17"/>
      <c r="KU63" s="17"/>
      <c r="KV63" s="17"/>
      <c r="KW63" s="17"/>
      <c r="KX63" s="17"/>
      <c r="KY63" s="17">
        <v>1</v>
      </c>
      <c r="KZ63" s="17"/>
      <c r="LA63" s="17"/>
      <c r="LB63" s="17"/>
      <c r="LC63" s="17">
        <v>2</v>
      </c>
      <c r="LD63" s="17"/>
      <c r="LE63" s="17"/>
      <c r="LF63" s="17"/>
      <c r="LG63" s="17"/>
      <c r="LH63" s="17"/>
      <c r="LI63" s="17">
        <v>1</v>
      </c>
      <c r="LJ63" s="17">
        <v>1</v>
      </c>
      <c r="LK63" s="17"/>
      <c r="LL63" s="17">
        <v>2</v>
      </c>
      <c r="LM63" s="17"/>
      <c r="LN63" s="17"/>
      <c r="LO63" s="17"/>
      <c r="LP63" s="17">
        <v>1</v>
      </c>
      <c r="LQ63" s="17"/>
      <c r="LR63" s="17"/>
      <c r="LS63" s="17">
        <v>1</v>
      </c>
      <c r="LT63" s="17"/>
      <c r="LU63" s="17"/>
      <c r="LV63" s="17"/>
      <c r="LW63" s="17"/>
      <c r="LX63" s="17"/>
      <c r="LY63" s="17"/>
      <c r="LZ63" s="17"/>
      <c r="MA63" s="17">
        <v>1</v>
      </c>
      <c r="MB63" s="17"/>
      <c r="MC63" s="17"/>
      <c r="MD63" s="17"/>
      <c r="ME63" s="17"/>
      <c r="MF63" s="17"/>
      <c r="MG63" s="17"/>
      <c r="MH63" s="17">
        <v>1</v>
      </c>
      <c r="MI63" s="17"/>
      <c r="MJ63" s="17">
        <v>1</v>
      </c>
      <c r="MK63" s="17"/>
      <c r="ML63" s="17"/>
      <c r="MM63" s="17">
        <v>1</v>
      </c>
      <c r="MN63" s="17"/>
      <c r="MO63" s="17"/>
      <c r="MP63" s="17">
        <v>1</v>
      </c>
      <c r="MQ63" s="17"/>
      <c r="MR63" s="17">
        <v>1</v>
      </c>
      <c r="MS63" s="17"/>
      <c r="MT63" s="17"/>
      <c r="MU63" s="17"/>
      <c r="MV63" s="17"/>
      <c r="MW63" s="17"/>
      <c r="MX63" s="17"/>
      <c r="MY63" s="17"/>
      <c r="MZ63" s="17"/>
      <c r="NA63" s="17"/>
      <c r="NB63" s="17">
        <v>2</v>
      </c>
      <c r="NC63" s="17"/>
      <c r="ND63" s="17"/>
      <c r="NE63" s="17"/>
      <c r="NF63" s="17"/>
      <c r="NG63" s="17"/>
      <c r="NH63" s="17"/>
      <c r="NI63" s="17"/>
      <c r="NJ63" s="17">
        <v>2</v>
      </c>
      <c r="NK63" s="17"/>
      <c r="NL63" s="17"/>
      <c r="NM63" s="17">
        <v>1</v>
      </c>
      <c r="NN63" s="17"/>
      <c r="NO63" s="17">
        <v>2</v>
      </c>
      <c r="NP63" s="17"/>
      <c r="NQ63" s="17"/>
      <c r="NR63" s="17"/>
      <c r="NS63" s="17"/>
      <c r="NT63" s="17"/>
      <c r="NU63" s="17"/>
      <c r="NV63" s="17">
        <v>2</v>
      </c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>
        <v>1</v>
      </c>
      <c r="PB63" s="17"/>
      <c r="PC63" s="17"/>
      <c r="PD63" s="17"/>
      <c r="PE63" s="17"/>
      <c r="PF63" s="17">
        <v>2</v>
      </c>
      <c r="PG63" s="17"/>
      <c r="PH63" s="17"/>
      <c r="PI63" s="17">
        <v>1</v>
      </c>
      <c r="PJ63" s="17">
        <v>1</v>
      </c>
      <c r="PK63" s="17">
        <v>2</v>
      </c>
      <c r="PL63" s="17"/>
      <c r="PM63" s="17"/>
      <c r="PN63" s="17">
        <v>1</v>
      </c>
      <c r="PO63" s="17"/>
      <c r="PP63" s="17"/>
      <c r="PQ63" s="17">
        <v>2</v>
      </c>
      <c r="PR63" s="17"/>
      <c r="PS63" s="17"/>
      <c r="PT63" s="17"/>
      <c r="PU63" s="17"/>
      <c r="PV63" s="17"/>
      <c r="PW63" s="17" t="s">
        <v>507</v>
      </c>
      <c r="PX63" s="17" t="s">
        <v>508</v>
      </c>
      <c r="PY63" s="17" t="s">
        <v>506</v>
      </c>
      <c r="PZ63" s="17" t="s">
        <v>507</v>
      </c>
      <c r="QA63" s="17" t="s">
        <v>506</v>
      </c>
      <c r="QB63" s="17" t="s">
        <v>508</v>
      </c>
      <c r="QC63" s="17" t="s">
        <v>508</v>
      </c>
      <c r="QD63" s="17" t="s">
        <v>508</v>
      </c>
      <c r="QE63" s="17" t="s">
        <v>507</v>
      </c>
      <c r="QF63" s="17" t="s">
        <v>507</v>
      </c>
      <c r="QG63" s="17" t="s">
        <v>508</v>
      </c>
      <c r="QH63" s="17" t="s">
        <v>508</v>
      </c>
      <c r="QI63" s="17">
        <v>1</v>
      </c>
      <c r="QJ63" s="17">
        <v>0</v>
      </c>
      <c r="QK63" s="17">
        <v>0</v>
      </c>
      <c r="QL63" s="17">
        <v>1</v>
      </c>
      <c r="QM63" s="17">
        <v>0</v>
      </c>
      <c r="QN63" s="17">
        <v>1</v>
      </c>
      <c r="QO63" s="17"/>
      <c r="QP63" s="17">
        <v>1</v>
      </c>
      <c r="QQ63" s="17">
        <v>1</v>
      </c>
      <c r="QR63" s="17">
        <v>1</v>
      </c>
      <c r="QS63" s="17">
        <v>1</v>
      </c>
      <c r="QT63" s="17">
        <v>1</v>
      </c>
      <c r="QU63" s="17">
        <v>0</v>
      </c>
      <c r="QV63" s="17">
        <v>0</v>
      </c>
      <c r="QW63" s="17">
        <v>1</v>
      </c>
      <c r="QX63" s="17">
        <v>1</v>
      </c>
      <c r="QY63" s="17">
        <v>1</v>
      </c>
      <c r="QZ63" s="17">
        <v>1</v>
      </c>
      <c r="RA63" s="17">
        <v>1</v>
      </c>
      <c r="RB63" s="17">
        <v>1</v>
      </c>
      <c r="RC63" s="17">
        <v>1</v>
      </c>
      <c r="RD63" s="17">
        <v>0</v>
      </c>
      <c r="RE63" s="17">
        <v>0</v>
      </c>
      <c r="RF63" s="17">
        <v>0</v>
      </c>
      <c r="RG63" s="17">
        <v>0</v>
      </c>
      <c r="RH63" s="17">
        <v>0</v>
      </c>
      <c r="RI63" s="17">
        <v>0</v>
      </c>
      <c r="RJ63" s="17">
        <v>0</v>
      </c>
      <c r="RK63" s="17">
        <v>0</v>
      </c>
      <c r="RL63" s="17">
        <v>0</v>
      </c>
      <c r="RM63" s="17">
        <v>0</v>
      </c>
      <c r="RN63" s="17">
        <v>1</v>
      </c>
      <c r="RO63" s="17">
        <v>0</v>
      </c>
      <c r="RP63" s="17">
        <v>0</v>
      </c>
      <c r="RQ63" s="17">
        <v>0</v>
      </c>
      <c r="RR63" s="17">
        <v>0</v>
      </c>
      <c r="RS63" s="17">
        <v>0</v>
      </c>
      <c r="RT63" s="17">
        <v>0</v>
      </c>
      <c r="RU63" s="17">
        <v>0</v>
      </c>
      <c r="RV63" s="17">
        <v>0</v>
      </c>
      <c r="RW63" s="17">
        <v>1</v>
      </c>
      <c r="RX63" s="17">
        <v>1</v>
      </c>
      <c r="RY63" s="17">
        <v>1</v>
      </c>
      <c r="RZ63" s="17">
        <v>0</v>
      </c>
      <c r="SA63" s="17">
        <v>1</v>
      </c>
      <c r="SB63" s="17">
        <v>1</v>
      </c>
      <c r="SC63" s="17">
        <v>0</v>
      </c>
      <c r="SD63" s="17">
        <v>1</v>
      </c>
      <c r="SE63" s="17">
        <v>1</v>
      </c>
      <c r="SF63" s="17">
        <v>0</v>
      </c>
      <c r="SG63" s="17">
        <v>1</v>
      </c>
      <c r="SH63" s="17">
        <v>0</v>
      </c>
      <c r="SI63" s="17">
        <v>10065</v>
      </c>
      <c r="SJ63" s="19">
        <f t="shared" si="3"/>
        <v>104</v>
      </c>
      <c r="SK63" s="19">
        <f t="shared" si="4"/>
        <v>175</v>
      </c>
      <c r="SL63" s="19">
        <f t="shared" si="5"/>
        <v>71</v>
      </c>
      <c r="SM63" s="9">
        <v>10065</v>
      </c>
      <c r="SN63" s="9" t="s">
        <v>504</v>
      </c>
      <c r="SO63" s="10">
        <v>2</v>
      </c>
      <c r="SP63" s="9">
        <v>2</v>
      </c>
      <c r="SQ63" s="13" t="s">
        <v>518</v>
      </c>
      <c r="SR63" s="9">
        <v>16</v>
      </c>
      <c r="SS63" s="28">
        <v>63.5</v>
      </c>
      <c r="ST63" s="28">
        <v>15</v>
      </c>
      <c r="SU63" s="28">
        <v>178</v>
      </c>
      <c r="SV63" s="28">
        <v>65</v>
      </c>
      <c r="SW63" s="28">
        <v>71</v>
      </c>
      <c r="SX63" s="28">
        <v>90</v>
      </c>
      <c r="SY63" s="29">
        <v>31</v>
      </c>
      <c r="SZ63" s="30">
        <v>30</v>
      </c>
      <c r="TA63" s="31">
        <v>19</v>
      </c>
      <c r="TB63" s="31">
        <v>45</v>
      </c>
    </row>
    <row r="64" spans="1:522" ht="15.75" customHeight="1" x14ac:dyDescent="0.2">
      <c r="A64" s="17">
        <v>10066</v>
      </c>
      <c r="B64" s="17" t="s">
        <v>501</v>
      </c>
      <c r="C64" s="17" t="s">
        <v>502</v>
      </c>
      <c r="D64" s="17" t="s">
        <v>512</v>
      </c>
      <c r="E64" s="17" t="s">
        <v>509</v>
      </c>
      <c r="F64" s="18">
        <v>38075</v>
      </c>
      <c r="G64" s="18">
        <v>38535</v>
      </c>
      <c r="H64" s="14">
        <f t="shared" si="2"/>
        <v>15</v>
      </c>
      <c r="I64" s="17" t="s">
        <v>505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/>
      <c r="X64" s="17"/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/>
      <c r="AE64" s="17">
        <v>1</v>
      </c>
      <c r="AF64" s="17">
        <v>1</v>
      </c>
      <c r="AG64" s="17"/>
      <c r="AH64" s="17"/>
      <c r="AI64" s="17"/>
      <c r="AJ64" s="17">
        <v>1</v>
      </c>
      <c r="AK64" s="17"/>
      <c r="AL64" s="17">
        <v>1</v>
      </c>
      <c r="AM64" s="17"/>
      <c r="AN64" s="17"/>
      <c r="AO64" s="17" t="s">
        <v>507</v>
      </c>
      <c r="AP64" s="17" t="s">
        <v>508</v>
      </c>
      <c r="AQ64" s="17"/>
      <c r="AR64" s="17"/>
      <c r="AS64" s="17"/>
      <c r="AT64" s="17"/>
      <c r="AU64" s="17">
        <v>1</v>
      </c>
      <c r="AV64" s="17">
        <v>1</v>
      </c>
      <c r="AW64" s="17"/>
      <c r="AX64" s="17">
        <v>2</v>
      </c>
      <c r="AY64" s="17">
        <v>2</v>
      </c>
      <c r="AZ64" s="17"/>
      <c r="BA64" s="17">
        <v>2</v>
      </c>
      <c r="BB64" s="17">
        <v>2</v>
      </c>
      <c r="BC64" s="17"/>
      <c r="BD64" s="17"/>
      <c r="BE64" s="17"/>
      <c r="BF64" s="17"/>
      <c r="BG64" s="17"/>
      <c r="BH64" s="17">
        <v>1</v>
      </c>
      <c r="BI64" s="17"/>
      <c r="BJ64" s="17">
        <v>1</v>
      </c>
      <c r="BK64" s="17"/>
      <c r="BL64" s="17">
        <v>1</v>
      </c>
      <c r="BM64" s="17"/>
      <c r="BN64" s="17">
        <v>2</v>
      </c>
      <c r="BO64" s="17"/>
      <c r="BP64" s="17">
        <v>2</v>
      </c>
      <c r="BQ64" s="17"/>
      <c r="BR64" s="17"/>
      <c r="BS64" s="17">
        <v>2</v>
      </c>
      <c r="BT64" s="17"/>
      <c r="BU64" s="17"/>
      <c r="BV64" s="17"/>
      <c r="BW64" s="17">
        <v>1</v>
      </c>
      <c r="BX64" s="17"/>
      <c r="BY64" s="17"/>
      <c r="BZ64" s="17"/>
      <c r="CA64" s="17"/>
      <c r="CB64" s="17"/>
      <c r="CC64" s="17"/>
      <c r="CD64" s="17">
        <v>1</v>
      </c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>
        <v>2</v>
      </c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>
        <v>1</v>
      </c>
      <c r="DM64" s="17">
        <v>1</v>
      </c>
      <c r="DN64" s="17"/>
      <c r="DO64" s="17"/>
      <c r="DP64" s="17"/>
      <c r="DQ64" s="17"/>
      <c r="DR64" s="17"/>
      <c r="DS64" s="17"/>
      <c r="DT64" s="17"/>
      <c r="DU64" s="17">
        <v>2</v>
      </c>
      <c r="DV64" s="17"/>
      <c r="DW64" s="17"/>
      <c r="DX64" s="17"/>
      <c r="DY64" s="17">
        <v>1</v>
      </c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>
        <v>2</v>
      </c>
      <c r="EP64" s="17"/>
      <c r="EQ64" s="17"/>
      <c r="ER64" s="17"/>
      <c r="ES64" s="17"/>
      <c r="ET64" s="17"/>
      <c r="EU64" s="17"/>
      <c r="EV64" s="17">
        <v>1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>
        <v>2</v>
      </c>
      <c r="FP64" s="17"/>
      <c r="FQ64" s="17"/>
      <c r="FR64" s="17"/>
      <c r="FS64" s="17"/>
      <c r="FT64" s="17"/>
      <c r="FU64" s="17"/>
      <c r="FV64" s="17">
        <v>2</v>
      </c>
      <c r="FW64" s="17"/>
      <c r="FX64" s="17"/>
      <c r="FY64" s="17"/>
      <c r="FZ64" s="17"/>
      <c r="GA64" s="17"/>
      <c r="GB64" s="17"/>
      <c r="GC64" s="17">
        <v>1</v>
      </c>
      <c r="GD64" s="17"/>
      <c r="GE64" s="17"/>
      <c r="GF64" s="17"/>
      <c r="GG64" s="17"/>
      <c r="GH64" s="17"/>
      <c r="GI64" s="17">
        <v>1</v>
      </c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>
        <v>1</v>
      </c>
      <c r="GY64" s="17"/>
      <c r="GZ64" s="17">
        <v>1</v>
      </c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>
        <v>1</v>
      </c>
      <c r="II64" s="17"/>
      <c r="IJ64" s="17"/>
      <c r="IK64" s="17">
        <v>1</v>
      </c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>
        <v>1</v>
      </c>
      <c r="JF64" s="17"/>
      <c r="JG64" s="17"/>
      <c r="JH64" s="17"/>
      <c r="JI64" s="17"/>
      <c r="JJ64" s="17"/>
      <c r="JK64" s="17">
        <v>2</v>
      </c>
      <c r="JL64" s="17"/>
      <c r="JM64" s="17">
        <v>1</v>
      </c>
      <c r="JN64" s="17">
        <v>1</v>
      </c>
      <c r="JO64" s="17"/>
      <c r="JP64" s="17"/>
      <c r="JQ64" s="17">
        <v>2</v>
      </c>
      <c r="JR64" s="17">
        <v>1</v>
      </c>
      <c r="JS64" s="17"/>
      <c r="JT64" s="17"/>
      <c r="JU64" s="17"/>
      <c r="JV64" s="17"/>
      <c r="JW64" s="17"/>
      <c r="JX64" s="17">
        <v>1</v>
      </c>
      <c r="JY64" s="17">
        <v>1</v>
      </c>
      <c r="JZ64" s="17">
        <v>2</v>
      </c>
      <c r="KA64" s="17">
        <v>1</v>
      </c>
      <c r="KB64" s="17">
        <v>1</v>
      </c>
      <c r="KC64" s="17">
        <v>2</v>
      </c>
      <c r="KD64" s="17">
        <v>2</v>
      </c>
      <c r="KE64" s="17">
        <v>1</v>
      </c>
      <c r="KF64" s="17">
        <v>1</v>
      </c>
      <c r="KG64" s="17"/>
      <c r="KH64" s="17">
        <v>1</v>
      </c>
      <c r="KI64" s="17"/>
      <c r="KJ64" s="17">
        <v>1</v>
      </c>
      <c r="KK64" s="17">
        <v>1</v>
      </c>
      <c r="KL64" s="17">
        <v>1</v>
      </c>
      <c r="KM64" s="17">
        <v>2</v>
      </c>
      <c r="KN64" s="17"/>
      <c r="KO64" s="17"/>
      <c r="KP64" s="17">
        <v>1</v>
      </c>
      <c r="KQ64" s="17"/>
      <c r="KR64" s="17">
        <v>1</v>
      </c>
      <c r="KS64" s="17"/>
      <c r="KT64" s="17"/>
      <c r="KU64" s="17"/>
      <c r="KV64" s="17"/>
      <c r="KW64" s="17"/>
      <c r="KX64" s="17"/>
      <c r="KY64" s="17"/>
      <c r="KZ64" s="17"/>
      <c r="LA64" s="17">
        <v>1</v>
      </c>
      <c r="LB64" s="17"/>
      <c r="LC64" s="17"/>
      <c r="LD64" s="17"/>
      <c r="LE64" s="17"/>
      <c r="LF64" s="17"/>
      <c r="LG64" s="17"/>
      <c r="LH64" s="17">
        <v>1</v>
      </c>
      <c r="LI64" s="17"/>
      <c r="LJ64" s="17"/>
      <c r="LK64" s="17"/>
      <c r="LL64" s="17">
        <v>1</v>
      </c>
      <c r="LM64" s="17"/>
      <c r="LN64" s="17"/>
      <c r="LO64" s="17"/>
      <c r="LP64" s="17">
        <v>1</v>
      </c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>
        <v>1</v>
      </c>
      <c r="MG64" s="17"/>
      <c r="MH64" s="17"/>
      <c r="MI64" s="17"/>
      <c r="MJ64" s="17"/>
      <c r="MK64" s="17"/>
      <c r="ML64" s="17">
        <v>1</v>
      </c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>
        <v>1</v>
      </c>
      <c r="NC64" s="17"/>
      <c r="ND64" s="17"/>
      <c r="NE64" s="17"/>
      <c r="NF64" s="17"/>
      <c r="NG64" s="17"/>
      <c r="NH64" s="17">
        <v>1</v>
      </c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>
        <v>1</v>
      </c>
      <c r="NT64" s="17"/>
      <c r="NU64" s="17"/>
      <c r="NV64" s="17"/>
      <c r="NW64" s="17">
        <v>2</v>
      </c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>
        <v>1</v>
      </c>
      <c r="OJ64" s="17">
        <v>1</v>
      </c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>
        <v>1</v>
      </c>
      <c r="OW64" s="17"/>
      <c r="OX64" s="17"/>
      <c r="OY64" s="17"/>
      <c r="OZ64" s="17"/>
      <c r="PA64" s="17"/>
      <c r="PB64" s="17"/>
      <c r="PC64" s="17"/>
      <c r="PD64" s="17"/>
      <c r="PE64" s="17"/>
      <c r="PF64" s="17">
        <v>1</v>
      </c>
      <c r="PG64" s="17"/>
      <c r="PH64" s="17"/>
      <c r="PI64" s="17"/>
      <c r="PJ64" s="17"/>
      <c r="PK64" s="17"/>
      <c r="PL64" s="17"/>
      <c r="PM64" s="17"/>
      <c r="PN64" s="17">
        <v>1</v>
      </c>
      <c r="PO64" s="17"/>
      <c r="PP64" s="17"/>
      <c r="PQ64" s="17"/>
      <c r="PR64" s="17"/>
      <c r="PS64" s="17"/>
      <c r="PT64" s="17"/>
      <c r="PU64" s="17"/>
      <c r="PV64" s="17"/>
      <c r="PW64" s="17" t="s">
        <v>506</v>
      </c>
      <c r="PX64" s="17" t="s">
        <v>506</v>
      </c>
      <c r="PY64" s="17" t="s">
        <v>507</v>
      </c>
      <c r="PZ64" s="17" t="s">
        <v>506</v>
      </c>
      <c r="QA64" s="17" t="s">
        <v>507</v>
      </c>
      <c r="QB64" s="17" t="s">
        <v>508</v>
      </c>
      <c r="QC64" s="17" t="s">
        <v>508</v>
      </c>
      <c r="QD64" s="17" t="s">
        <v>508</v>
      </c>
      <c r="QE64" s="17" t="s">
        <v>507</v>
      </c>
      <c r="QF64" s="17" t="s">
        <v>506</v>
      </c>
      <c r="QG64" s="17" t="s">
        <v>508</v>
      </c>
      <c r="QH64" s="17" t="s">
        <v>508</v>
      </c>
      <c r="QI64" s="17">
        <v>1</v>
      </c>
      <c r="QJ64" s="17">
        <v>0</v>
      </c>
      <c r="QK64" s="17">
        <v>0</v>
      </c>
      <c r="QL64" s="17"/>
      <c r="QM64" s="17">
        <v>1</v>
      </c>
      <c r="QN64" s="17">
        <v>1</v>
      </c>
      <c r="QO64" s="17"/>
      <c r="QP64" s="17">
        <v>1</v>
      </c>
      <c r="QQ64" s="17">
        <v>1</v>
      </c>
      <c r="QR64" s="17">
        <v>0</v>
      </c>
      <c r="QS64" s="17">
        <v>0</v>
      </c>
      <c r="QT64" s="17">
        <v>1</v>
      </c>
      <c r="QU64" s="17">
        <v>1</v>
      </c>
      <c r="QV64" s="17">
        <v>0</v>
      </c>
      <c r="QW64" s="17">
        <v>0</v>
      </c>
      <c r="QX64" s="17">
        <v>0</v>
      </c>
      <c r="QY64" s="17">
        <v>0</v>
      </c>
      <c r="QZ64" s="17">
        <v>1</v>
      </c>
      <c r="RA64" s="17">
        <v>1</v>
      </c>
      <c r="RB64" s="17">
        <v>1</v>
      </c>
      <c r="RC64" s="17">
        <v>1</v>
      </c>
      <c r="RD64" s="17">
        <v>0</v>
      </c>
      <c r="RE64" s="17">
        <v>0</v>
      </c>
      <c r="RF64" s="17">
        <v>0</v>
      </c>
      <c r="RG64" s="17">
        <v>0</v>
      </c>
      <c r="RH64" s="17">
        <v>1</v>
      </c>
      <c r="RI64" s="17">
        <v>0</v>
      </c>
      <c r="RJ64" s="17">
        <v>0</v>
      </c>
      <c r="RK64" s="17">
        <v>0</v>
      </c>
      <c r="RL64" s="17">
        <v>0</v>
      </c>
      <c r="RM64" s="17">
        <v>0</v>
      </c>
      <c r="RN64" s="17">
        <v>1</v>
      </c>
      <c r="RO64" s="17">
        <v>0</v>
      </c>
      <c r="RP64" s="17">
        <v>0</v>
      </c>
      <c r="RQ64" s="17">
        <v>1</v>
      </c>
      <c r="RR64" s="17">
        <v>0</v>
      </c>
      <c r="RS64" s="17">
        <v>0</v>
      </c>
      <c r="RT64" s="17">
        <v>0</v>
      </c>
      <c r="RU64" s="17">
        <v>1</v>
      </c>
      <c r="RV64" s="17">
        <v>0</v>
      </c>
      <c r="RW64" s="17">
        <v>0</v>
      </c>
      <c r="RX64" s="17">
        <v>1</v>
      </c>
      <c r="RY64" s="17">
        <v>0</v>
      </c>
      <c r="RZ64" s="17">
        <v>0</v>
      </c>
      <c r="SA64" s="17">
        <v>1</v>
      </c>
      <c r="SB64" s="17">
        <v>0</v>
      </c>
      <c r="SC64" s="17">
        <v>0</v>
      </c>
      <c r="SD64" s="17">
        <v>0</v>
      </c>
      <c r="SE64" s="17">
        <v>0</v>
      </c>
      <c r="SF64" s="17">
        <v>0</v>
      </c>
      <c r="SG64" s="17">
        <v>0</v>
      </c>
      <c r="SH64" s="17"/>
      <c r="SI64" s="17">
        <v>10066</v>
      </c>
      <c r="SJ64" s="19">
        <f t="shared" si="3"/>
        <v>47</v>
      </c>
      <c r="SK64" s="19">
        <f t="shared" si="4"/>
        <v>66</v>
      </c>
      <c r="SL64" s="19">
        <f t="shared" si="5"/>
        <v>19</v>
      </c>
      <c r="SM64" s="9">
        <v>10066</v>
      </c>
      <c r="SN64" s="9" t="s">
        <v>509</v>
      </c>
      <c r="SO64" s="10">
        <v>1</v>
      </c>
      <c r="SP64" s="9">
        <v>1</v>
      </c>
      <c r="SQ64" s="11" t="s">
        <v>517</v>
      </c>
      <c r="SR64" s="9">
        <v>18</v>
      </c>
      <c r="SS64" s="28" t="s">
        <v>563</v>
      </c>
      <c r="ST64" s="28">
        <v>15</v>
      </c>
      <c r="SU64" s="28">
        <v>62</v>
      </c>
      <c r="SV64" s="28">
        <v>11</v>
      </c>
      <c r="SW64" s="28">
        <v>14</v>
      </c>
      <c r="SX64" s="28">
        <v>32</v>
      </c>
      <c r="SY64" s="29">
        <v>25</v>
      </c>
      <c r="SZ64" s="30">
        <v>10</v>
      </c>
      <c r="TA64" s="31">
        <v>19</v>
      </c>
      <c r="TB64" s="31">
        <v>35</v>
      </c>
    </row>
    <row r="65" spans="1:522" ht="15.75" customHeight="1" x14ac:dyDescent="0.2">
      <c r="A65" s="17">
        <v>10067</v>
      </c>
      <c r="B65" s="17" t="s">
        <v>501</v>
      </c>
      <c r="C65" s="17" t="s">
        <v>502</v>
      </c>
      <c r="D65" s="17" t="s">
        <v>512</v>
      </c>
      <c r="E65" s="17" t="s">
        <v>509</v>
      </c>
      <c r="F65" s="18">
        <v>38071</v>
      </c>
      <c r="G65" s="18">
        <v>38551</v>
      </c>
      <c r="H65" s="14">
        <f t="shared" si="2"/>
        <v>15</v>
      </c>
      <c r="I65" s="17" t="s">
        <v>505</v>
      </c>
      <c r="J65" s="17">
        <v>1</v>
      </c>
      <c r="K65" s="17">
        <v>1</v>
      </c>
      <c r="L65" s="17">
        <v>1</v>
      </c>
      <c r="M65" s="17">
        <v>1</v>
      </c>
      <c r="N65" s="17"/>
      <c r="O65" s="17">
        <v>1</v>
      </c>
      <c r="P65" s="17">
        <v>1</v>
      </c>
      <c r="Q65" s="17"/>
      <c r="R65" s="17">
        <v>1</v>
      </c>
      <c r="S65" s="17"/>
      <c r="T65" s="17"/>
      <c r="U65" s="17">
        <v>1</v>
      </c>
      <c r="V65" s="17"/>
      <c r="W65" s="17"/>
      <c r="X65" s="17"/>
      <c r="Y65" s="17">
        <v>1</v>
      </c>
      <c r="Z65" s="17"/>
      <c r="AA65" s="17"/>
      <c r="AB65" s="17">
        <v>1</v>
      </c>
      <c r="AC65" s="17">
        <v>1</v>
      </c>
      <c r="AD65" s="17"/>
      <c r="AE65" s="17">
        <v>1</v>
      </c>
      <c r="AF65" s="17">
        <v>1</v>
      </c>
      <c r="AG65" s="17"/>
      <c r="AH65" s="17">
        <v>1</v>
      </c>
      <c r="AI65" s="17"/>
      <c r="AJ65" s="17"/>
      <c r="AK65" s="17">
        <v>1</v>
      </c>
      <c r="AL65" s="17"/>
      <c r="AM65" s="17"/>
      <c r="AN65" s="17">
        <v>1</v>
      </c>
      <c r="AO65" s="17" t="s">
        <v>507</v>
      </c>
      <c r="AP65" s="17" t="s">
        <v>508</v>
      </c>
      <c r="AQ65" s="17">
        <v>2</v>
      </c>
      <c r="AR65" s="17"/>
      <c r="AS65" s="17">
        <v>1</v>
      </c>
      <c r="AT65" s="17">
        <v>2</v>
      </c>
      <c r="AU65" s="17">
        <v>1</v>
      </c>
      <c r="AV65" s="17">
        <v>2</v>
      </c>
      <c r="AW65" s="17">
        <v>2</v>
      </c>
      <c r="AX65" s="17">
        <v>2</v>
      </c>
      <c r="AY65" s="17">
        <v>2</v>
      </c>
      <c r="AZ65" s="17">
        <v>1</v>
      </c>
      <c r="BA65" s="17">
        <v>2</v>
      </c>
      <c r="BB65" s="17">
        <v>1</v>
      </c>
      <c r="BC65" s="17"/>
      <c r="BD65" s="17">
        <v>2</v>
      </c>
      <c r="BE65" s="17">
        <v>1</v>
      </c>
      <c r="BF65" s="17">
        <v>2</v>
      </c>
      <c r="BG65" s="17">
        <v>2</v>
      </c>
      <c r="BH65" s="17">
        <v>1</v>
      </c>
      <c r="BI65" s="17"/>
      <c r="BJ65" s="17">
        <v>2</v>
      </c>
      <c r="BK65" s="17"/>
      <c r="BL65" s="17">
        <v>1</v>
      </c>
      <c r="BM65" s="17"/>
      <c r="BN65" s="17">
        <v>2</v>
      </c>
      <c r="BO65" s="17">
        <v>1</v>
      </c>
      <c r="BP65" s="17">
        <v>2</v>
      </c>
      <c r="BQ65" s="17"/>
      <c r="BR65" s="17">
        <v>2</v>
      </c>
      <c r="BS65" s="17">
        <v>1</v>
      </c>
      <c r="BT65" s="17">
        <v>1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>
        <v>1</v>
      </c>
      <c r="CH65" s="17"/>
      <c r="CI65" s="17"/>
      <c r="CJ65" s="17"/>
      <c r="CK65" s="17"/>
      <c r="CL65" s="17"/>
      <c r="CM65" s="17">
        <v>2</v>
      </c>
      <c r="CN65" s="17"/>
      <c r="CO65" s="17"/>
      <c r="CP65" s="17">
        <v>1</v>
      </c>
      <c r="CQ65" s="17"/>
      <c r="CR65" s="17"/>
      <c r="CS65" s="17">
        <v>1</v>
      </c>
      <c r="CT65" s="17"/>
      <c r="CU65" s="17"/>
      <c r="CV65" s="17">
        <v>2</v>
      </c>
      <c r="CW65" s="17">
        <v>2</v>
      </c>
      <c r="CX65" s="17">
        <v>1</v>
      </c>
      <c r="CY65" s="17">
        <v>2</v>
      </c>
      <c r="CZ65" s="17">
        <v>2</v>
      </c>
      <c r="DA65" s="17"/>
      <c r="DB65" s="17"/>
      <c r="DC65" s="17">
        <v>1</v>
      </c>
      <c r="DD65" s="17">
        <v>2</v>
      </c>
      <c r="DE65" s="17">
        <v>2</v>
      </c>
      <c r="DF65" s="17"/>
      <c r="DG65" s="17"/>
      <c r="DH65" s="17"/>
      <c r="DI65" s="17"/>
      <c r="DJ65" s="17"/>
      <c r="DK65" s="17"/>
      <c r="DL65" s="17">
        <v>1</v>
      </c>
      <c r="DM65" s="17">
        <v>1</v>
      </c>
      <c r="DN65" s="17"/>
      <c r="DO65" s="17"/>
      <c r="DP65" s="17"/>
      <c r="DQ65" s="17"/>
      <c r="DR65" s="17"/>
      <c r="DS65" s="17"/>
      <c r="DT65" s="17"/>
      <c r="DU65" s="17">
        <v>1</v>
      </c>
      <c r="DV65" s="17"/>
      <c r="DW65" s="17"/>
      <c r="DX65" s="17"/>
      <c r="DY65" s="17">
        <v>1</v>
      </c>
      <c r="DZ65" s="17">
        <v>2</v>
      </c>
      <c r="EA65" s="17"/>
      <c r="EB65" s="17">
        <v>1</v>
      </c>
      <c r="EC65" s="17"/>
      <c r="ED65" s="17"/>
      <c r="EE65" s="17"/>
      <c r="EF65" s="17"/>
      <c r="EG65" s="17"/>
      <c r="EH65" s="17">
        <v>1</v>
      </c>
      <c r="EI65" s="17">
        <v>1</v>
      </c>
      <c r="EJ65" s="17"/>
      <c r="EK65" s="17"/>
      <c r="EL65" s="17"/>
      <c r="EM65" s="17">
        <v>2</v>
      </c>
      <c r="EN65" s="17"/>
      <c r="EO65" s="17"/>
      <c r="EP65" s="17"/>
      <c r="EQ65" s="17"/>
      <c r="ER65" s="17"/>
      <c r="ES65" s="17"/>
      <c r="ET65" s="17"/>
      <c r="EU65" s="17"/>
      <c r="EV65" s="17">
        <v>2</v>
      </c>
      <c r="EW65" s="17"/>
      <c r="EX65" s="17"/>
      <c r="EY65" s="17"/>
      <c r="EZ65" s="17"/>
      <c r="FA65" s="17"/>
      <c r="FB65" s="17">
        <v>2</v>
      </c>
      <c r="FC65" s="17"/>
      <c r="FD65" s="17">
        <v>1</v>
      </c>
      <c r="FE65" s="17">
        <v>1</v>
      </c>
      <c r="FF65" s="17"/>
      <c r="FG65" s="17"/>
      <c r="FH65" s="17">
        <v>1</v>
      </c>
      <c r="FI65" s="17"/>
      <c r="FJ65" s="17"/>
      <c r="FK65" s="17"/>
      <c r="FL65" s="17">
        <v>1</v>
      </c>
      <c r="FM65" s="17"/>
      <c r="FN65" s="17">
        <v>1</v>
      </c>
      <c r="FO65" s="17">
        <v>2</v>
      </c>
      <c r="FP65" s="17"/>
      <c r="FQ65" s="17">
        <v>1</v>
      </c>
      <c r="FR65" s="17">
        <v>2</v>
      </c>
      <c r="FS65" s="17">
        <v>1</v>
      </c>
      <c r="FT65" s="17">
        <v>2</v>
      </c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>
        <v>1</v>
      </c>
      <c r="GJ65" s="17"/>
      <c r="GK65" s="17">
        <v>2</v>
      </c>
      <c r="GL65" s="17">
        <v>1</v>
      </c>
      <c r="GM65" s="17"/>
      <c r="GN65" s="17"/>
      <c r="GO65" s="17"/>
      <c r="GP65" s="17"/>
      <c r="GQ65" s="17"/>
      <c r="GR65" s="17">
        <v>1</v>
      </c>
      <c r="GS65" s="17"/>
      <c r="GT65" s="17"/>
      <c r="GU65" s="17"/>
      <c r="GV65" s="17"/>
      <c r="GW65" s="17"/>
      <c r="GX65" s="17"/>
      <c r="GY65" s="17">
        <v>1</v>
      </c>
      <c r="GZ65" s="17"/>
      <c r="HA65" s="17"/>
      <c r="HB65" s="17"/>
      <c r="HC65" s="17"/>
      <c r="HD65" s="17"/>
      <c r="HE65" s="17">
        <v>1</v>
      </c>
      <c r="HF65" s="17">
        <v>1</v>
      </c>
      <c r="HG65" s="17">
        <v>1</v>
      </c>
      <c r="HH65" s="17">
        <v>1</v>
      </c>
      <c r="HI65" s="17"/>
      <c r="HJ65" s="17"/>
      <c r="HK65" s="17"/>
      <c r="HL65" s="17">
        <v>1</v>
      </c>
      <c r="HM65" s="17"/>
      <c r="HN65" s="17"/>
      <c r="HO65" s="17">
        <v>1</v>
      </c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>
        <v>2</v>
      </c>
      <c r="IL65" s="17">
        <v>1</v>
      </c>
      <c r="IM65" s="17"/>
      <c r="IN65" s="17">
        <v>2</v>
      </c>
      <c r="IO65" s="17"/>
      <c r="IP65" s="17">
        <v>1</v>
      </c>
      <c r="IQ65" s="17"/>
      <c r="IR65" s="17"/>
      <c r="IS65" s="17"/>
      <c r="IT65" s="17">
        <v>1</v>
      </c>
      <c r="IU65" s="17"/>
      <c r="IV65" s="17"/>
      <c r="IW65" s="17"/>
      <c r="IX65" s="17"/>
      <c r="IY65" s="17">
        <v>1</v>
      </c>
      <c r="IZ65" s="17"/>
      <c r="JA65" s="17"/>
      <c r="JB65" s="17"/>
      <c r="JC65" s="17"/>
      <c r="JD65" s="17"/>
      <c r="JE65" s="17">
        <v>2</v>
      </c>
      <c r="JF65" s="17"/>
      <c r="JG65" s="17"/>
      <c r="JH65" s="17"/>
      <c r="JI65" s="17"/>
      <c r="JJ65" s="17"/>
      <c r="JK65" s="17">
        <v>2</v>
      </c>
      <c r="JL65" s="17"/>
      <c r="JM65" s="17">
        <v>2</v>
      </c>
      <c r="JN65" s="17">
        <v>2</v>
      </c>
      <c r="JO65" s="17"/>
      <c r="JP65" s="17"/>
      <c r="JQ65" s="17">
        <v>2</v>
      </c>
      <c r="JR65" s="17">
        <v>1</v>
      </c>
      <c r="JS65" s="17"/>
      <c r="JT65" s="17"/>
      <c r="JU65" s="17"/>
      <c r="JV65" s="17"/>
      <c r="JW65" s="17"/>
      <c r="JX65" s="17">
        <v>1</v>
      </c>
      <c r="JY65" s="17"/>
      <c r="JZ65" s="17">
        <v>2</v>
      </c>
      <c r="KA65" s="17"/>
      <c r="KB65" s="17"/>
      <c r="KC65" s="17"/>
      <c r="KD65" s="17">
        <v>2</v>
      </c>
      <c r="KE65" s="17"/>
      <c r="KF65" s="17">
        <v>1</v>
      </c>
      <c r="KG65" s="17">
        <v>2</v>
      </c>
      <c r="KH65" s="17">
        <v>2</v>
      </c>
      <c r="KI65" s="17"/>
      <c r="KJ65" s="17">
        <v>2</v>
      </c>
      <c r="KK65" s="17"/>
      <c r="KL65" s="17">
        <v>2</v>
      </c>
      <c r="KM65" s="17"/>
      <c r="KN65" s="17"/>
      <c r="KO65" s="17"/>
      <c r="KP65" s="17"/>
      <c r="KQ65" s="17">
        <v>1</v>
      </c>
      <c r="KR65" s="17"/>
      <c r="KS65" s="17"/>
      <c r="KT65" s="17">
        <v>1</v>
      </c>
      <c r="KU65" s="17"/>
      <c r="KV65" s="17"/>
      <c r="KW65" s="17"/>
      <c r="KX65" s="17"/>
      <c r="KY65" s="17"/>
      <c r="KZ65" s="17"/>
      <c r="LA65" s="17">
        <v>1</v>
      </c>
      <c r="LB65" s="17"/>
      <c r="LC65" s="17">
        <v>2</v>
      </c>
      <c r="LD65" s="17"/>
      <c r="LE65" s="17"/>
      <c r="LF65" s="17"/>
      <c r="LG65" s="17"/>
      <c r="LH65" s="17"/>
      <c r="LI65" s="17">
        <v>1</v>
      </c>
      <c r="LJ65" s="17">
        <v>1</v>
      </c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>
        <v>1</v>
      </c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>
        <v>1</v>
      </c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>
        <v>2</v>
      </c>
      <c r="NC65" s="17"/>
      <c r="ND65" s="17"/>
      <c r="NE65" s="17"/>
      <c r="NF65" s="17"/>
      <c r="NG65" s="17"/>
      <c r="NH65" s="17">
        <v>1</v>
      </c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>
        <v>2</v>
      </c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>
        <v>1</v>
      </c>
      <c r="PG65" s="17">
        <v>1</v>
      </c>
      <c r="PH65" s="17"/>
      <c r="PI65" s="17"/>
      <c r="PJ65" s="17"/>
      <c r="PK65" s="17"/>
      <c r="PL65" s="17"/>
      <c r="PM65" s="17"/>
      <c r="PN65" s="17"/>
      <c r="PO65" s="17"/>
      <c r="PP65" s="17"/>
      <c r="PQ65" s="17">
        <v>2</v>
      </c>
      <c r="PR65" s="17"/>
      <c r="PS65" s="17"/>
      <c r="PT65" s="17"/>
      <c r="PU65" s="17"/>
      <c r="PV65" s="17"/>
      <c r="PW65" s="17" t="s">
        <v>506</v>
      </c>
      <c r="PX65" s="17" t="s">
        <v>507</v>
      </c>
      <c r="PY65" s="17" t="s">
        <v>506</v>
      </c>
      <c r="PZ65" s="17" t="s">
        <v>507</v>
      </c>
      <c r="QA65" s="17" t="s">
        <v>506</v>
      </c>
      <c r="QB65" s="17" t="s">
        <v>506</v>
      </c>
      <c r="QC65" s="17" t="s">
        <v>508</v>
      </c>
      <c r="QD65" s="17" t="s">
        <v>507</v>
      </c>
      <c r="QE65" s="17" t="s">
        <v>507</v>
      </c>
      <c r="QF65" s="17" t="s">
        <v>507</v>
      </c>
      <c r="QG65" s="17" t="s">
        <v>508</v>
      </c>
      <c r="QH65" s="17" t="s">
        <v>506</v>
      </c>
      <c r="QI65" s="17">
        <v>1</v>
      </c>
      <c r="QJ65" s="17">
        <v>0</v>
      </c>
      <c r="QK65" s="17">
        <v>0</v>
      </c>
      <c r="QL65" s="17">
        <v>1</v>
      </c>
      <c r="QM65" s="17">
        <v>0</v>
      </c>
      <c r="QN65" s="17">
        <v>1</v>
      </c>
      <c r="QO65" s="17">
        <v>1</v>
      </c>
      <c r="QP65" s="17">
        <v>1</v>
      </c>
      <c r="QQ65" s="17">
        <v>0</v>
      </c>
      <c r="QR65" s="17">
        <v>0</v>
      </c>
      <c r="QS65" s="17">
        <v>0</v>
      </c>
      <c r="QT65" s="17">
        <v>0</v>
      </c>
      <c r="QU65" s="17">
        <v>1</v>
      </c>
      <c r="QV65" s="17">
        <v>1</v>
      </c>
      <c r="QW65" s="17">
        <v>0</v>
      </c>
      <c r="QX65" s="17">
        <v>1</v>
      </c>
      <c r="QY65" s="17">
        <v>0</v>
      </c>
      <c r="QZ65" s="17">
        <v>1</v>
      </c>
      <c r="RA65" s="17">
        <v>0</v>
      </c>
      <c r="RB65" s="17">
        <v>1</v>
      </c>
      <c r="RC65" s="17">
        <v>0</v>
      </c>
      <c r="RD65" s="17">
        <v>0</v>
      </c>
      <c r="RE65" s="17">
        <v>0</v>
      </c>
      <c r="RF65" s="17">
        <v>0</v>
      </c>
      <c r="RG65" s="17">
        <v>0</v>
      </c>
      <c r="RH65" s="17">
        <v>0</v>
      </c>
      <c r="RI65" s="17">
        <v>0</v>
      </c>
      <c r="RJ65" s="17">
        <v>0</v>
      </c>
      <c r="RK65" s="17">
        <v>1</v>
      </c>
      <c r="RL65" s="17">
        <v>1</v>
      </c>
      <c r="RM65" s="17">
        <v>1</v>
      </c>
      <c r="RN65" s="17">
        <v>1</v>
      </c>
      <c r="RO65" s="17">
        <v>0</v>
      </c>
      <c r="RP65" s="17">
        <v>0</v>
      </c>
      <c r="RQ65" s="17">
        <v>0</v>
      </c>
      <c r="RR65" s="17">
        <v>0</v>
      </c>
      <c r="RS65" s="17">
        <v>1</v>
      </c>
      <c r="RT65" s="17">
        <v>1</v>
      </c>
      <c r="RU65" s="17">
        <v>0</v>
      </c>
      <c r="RV65" s="17">
        <v>0</v>
      </c>
      <c r="RW65" s="17">
        <v>1</v>
      </c>
      <c r="RX65" s="17">
        <v>1</v>
      </c>
      <c r="RY65" s="17">
        <v>0</v>
      </c>
      <c r="RZ65" s="17">
        <v>1</v>
      </c>
      <c r="SA65" s="17">
        <v>0</v>
      </c>
      <c r="SB65" s="17">
        <v>0</v>
      </c>
      <c r="SC65" s="17">
        <v>0</v>
      </c>
      <c r="SD65" s="17">
        <v>1</v>
      </c>
      <c r="SE65" s="17">
        <v>1</v>
      </c>
      <c r="SF65" s="17">
        <v>1</v>
      </c>
      <c r="SG65" s="17">
        <v>1</v>
      </c>
      <c r="SH65" s="17"/>
      <c r="SI65" s="17">
        <v>10067</v>
      </c>
      <c r="SJ65" s="19">
        <f t="shared" si="3"/>
        <v>56</v>
      </c>
      <c r="SK65" s="19">
        <f t="shared" si="4"/>
        <v>102</v>
      </c>
      <c r="SL65" s="19">
        <f t="shared" si="5"/>
        <v>46</v>
      </c>
      <c r="SM65" s="9">
        <v>10067</v>
      </c>
      <c r="SN65" s="9" t="s">
        <v>509</v>
      </c>
      <c r="SO65" s="10">
        <v>1</v>
      </c>
      <c r="SP65" s="9">
        <v>2</v>
      </c>
      <c r="SQ65" s="11" t="s">
        <v>517</v>
      </c>
      <c r="SR65" s="9">
        <v>16</v>
      </c>
      <c r="SS65" s="28">
        <v>61</v>
      </c>
      <c r="ST65" s="28">
        <v>15</v>
      </c>
      <c r="SU65" s="28">
        <v>102</v>
      </c>
      <c r="SV65" s="28">
        <v>23</v>
      </c>
      <c r="SW65" s="28">
        <v>46</v>
      </c>
      <c r="SX65" s="28">
        <v>66</v>
      </c>
      <c r="SY65" s="29">
        <v>33</v>
      </c>
      <c r="SZ65" s="30">
        <v>25</v>
      </c>
      <c r="TA65" s="31">
        <v>13</v>
      </c>
      <c r="TB65" s="31">
        <v>15</v>
      </c>
    </row>
    <row r="66" spans="1:522" ht="15.75" customHeight="1" x14ac:dyDescent="0.2">
      <c r="A66" s="8">
        <v>10068</v>
      </c>
      <c r="B66" s="17"/>
      <c r="C66" s="17"/>
      <c r="D66" s="17"/>
      <c r="E66" s="17"/>
      <c r="F66" s="18"/>
      <c r="G66" s="18"/>
      <c r="H66" s="20">
        <v>17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21"/>
      <c r="SJ66" s="21"/>
      <c r="SK66" s="21"/>
      <c r="SL66" s="21"/>
      <c r="SM66" s="9">
        <v>10068</v>
      </c>
      <c r="SN66" s="9" t="s">
        <v>504</v>
      </c>
      <c r="SO66" s="10">
        <v>2</v>
      </c>
      <c r="SP66" s="9">
        <v>2</v>
      </c>
      <c r="SQ66" s="13" t="s">
        <v>515</v>
      </c>
      <c r="SR66" s="9">
        <v>16</v>
      </c>
      <c r="SS66" s="28">
        <v>53</v>
      </c>
      <c r="ST66" s="28">
        <v>17</v>
      </c>
      <c r="SU66" s="28">
        <v>116</v>
      </c>
      <c r="SV66" s="28">
        <v>14</v>
      </c>
      <c r="SW66" s="28">
        <v>1</v>
      </c>
      <c r="SX66" s="28">
        <v>5</v>
      </c>
      <c r="SY66" s="29">
        <v>30</v>
      </c>
      <c r="SZ66" s="30">
        <v>9</v>
      </c>
      <c r="TA66" s="31">
        <v>17</v>
      </c>
      <c r="TB66" s="31">
        <v>23</v>
      </c>
    </row>
    <row r="67" spans="1:522" ht="15.75" customHeight="1" x14ac:dyDescent="0.2">
      <c r="A67" s="8">
        <v>10069</v>
      </c>
      <c r="B67" s="17"/>
      <c r="C67" s="17"/>
      <c r="D67" s="17"/>
      <c r="E67" s="17"/>
      <c r="F67" s="18"/>
      <c r="G67" s="18"/>
      <c r="H67" s="20">
        <v>15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21"/>
      <c r="SJ67" s="21"/>
      <c r="SK67" s="21"/>
      <c r="SL67" s="21"/>
      <c r="SM67" s="9">
        <v>10069</v>
      </c>
      <c r="SN67" s="9" t="s">
        <v>504</v>
      </c>
      <c r="SO67" s="10">
        <v>1</v>
      </c>
      <c r="SP67" s="9">
        <v>1</v>
      </c>
      <c r="SQ67" s="11" t="s">
        <v>519</v>
      </c>
      <c r="SR67" s="9">
        <v>16</v>
      </c>
      <c r="SS67" s="28" t="s">
        <v>563</v>
      </c>
      <c r="ST67" s="28">
        <v>15</v>
      </c>
      <c r="SU67" s="28">
        <v>48</v>
      </c>
      <c r="SV67" s="28">
        <v>10</v>
      </c>
      <c r="SW67" s="28">
        <v>19</v>
      </c>
      <c r="SX67" s="28">
        <v>55</v>
      </c>
      <c r="SY67" s="29">
        <v>17</v>
      </c>
      <c r="SZ67" s="30">
        <v>0</v>
      </c>
      <c r="TA67" s="31">
        <v>13</v>
      </c>
      <c r="TB67" s="31">
        <v>23</v>
      </c>
    </row>
    <row r="68" spans="1:522" ht="15.75" customHeight="1" x14ac:dyDescent="0.2">
      <c r="A68" s="8">
        <v>10070</v>
      </c>
      <c r="B68" s="17"/>
      <c r="C68" s="17"/>
      <c r="D68" s="17"/>
      <c r="E68" s="17"/>
      <c r="F68" s="18"/>
      <c r="G68" s="18"/>
      <c r="H68" s="20">
        <v>15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21"/>
      <c r="SJ68" s="21"/>
      <c r="SK68" s="21"/>
      <c r="SL68" s="21"/>
      <c r="SM68" s="9">
        <v>10070</v>
      </c>
      <c r="SN68" s="9" t="s">
        <v>504</v>
      </c>
      <c r="SO68" s="10">
        <v>1</v>
      </c>
      <c r="SP68" s="9">
        <v>1</v>
      </c>
      <c r="SQ68" s="11" t="s">
        <v>517</v>
      </c>
      <c r="SR68" s="9">
        <v>18</v>
      </c>
      <c r="SS68" s="28">
        <v>63</v>
      </c>
      <c r="ST68" s="28">
        <v>15</v>
      </c>
      <c r="SU68" s="28">
        <v>63</v>
      </c>
      <c r="SV68" s="28">
        <v>14</v>
      </c>
      <c r="SW68" s="28">
        <v>1</v>
      </c>
      <c r="SX68" s="28">
        <v>10</v>
      </c>
      <c r="SY68" s="29">
        <v>30</v>
      </c>
      <c r="SZ68" s="30">
        <v>25</v>
      </c>
      <c r="TA68" s="31">
        <v>8</v>
      </c>
      <c r="TB68" s="31">
        <v>9</v>
      </c>
    </row>
    <row r="69" spans="1:522" ht="15.75" customHeight="1" x14ac:dyDescent="0.2">
      <c r="A69" s="8">
        <v>10071</v>
      </c>
      <c r="B69" s="17"/>
      <c r="C69" s="17"/>
      <c r="D69" s="17"/>
      <c r="E69" s="17"/>
      <c r="F69" s="18"/>
      <c r="G69" s="18"/>
      <c r="H69" s="20">
        <v>15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21"/>
      <c r="SJ69" s="21"/>
      <c r="SK69" s="21"/>
      <c r="SL69" s="21"/>
      <c r="SM69" s="9">
        <v>10071</v>
      </c>
      <c r="SN69" s="9" t="s">
        <v>504</v>
      </c>
      <c r="SO69" s="10">
        <v>2</v>
      </c>
      <c r="SP69" s="9">
        <v>2</v>
      </c>
      <c r="SQ69" s="11" t="s">
        <v>517</v>
      </c>
      <c r="SR69" s="9">
        <v>16</v>
      </c>
      <c r="SS69" s="28">
        <v>63</v>
      </c>
      <c r="ST69" s="28">
        <v>15</v>
      </c>
      <c r="SU69" s="28">
        <v>55</v>
      </c>
      <c r="SV69" s="28">
        <v>12</v>
      </c>
      <c r="SW69" s="28">
        <v>0</v>
      </c>
      <c r="SX69" s="28">
        <v>5</v>
      </c>
      <c r="SY69" s="29">
        <v>22</v>
      </c>
      <c r="SZ69" s="30">
        <v>9</v>
      </c>
      <c r="TA69" s="31">
        <v>13</v>
      </c>
      <c r="TB69" s="31">
        <v>23</v>
      </c>
    </row>
    <row r="70" spans="1:522" ht="15.75" customHeight="1" x14ac:dyDescent="0.2">
      <c r="A70" s="8">
        <v>10072</v>
      </c>
      <c r="B70" s="17"/>
      <c r="C70" s="17"/>
      <c r="D70" s="17"/>
      <c r="E70" s="17"/>
      <c r="F70" s="18"/>
      <c r="G70" s="18"/>
      <c r="H70" s="20">
        <v>19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21"/>
      <c r="SJ70" s="21"/>
      <c r="SK70" s="21"/>
      <c r="SL70" s="21"/>
      <c r="SM70" s="9">
        <v>10072</v>
      </c>
      <c r="SN70" s="9" t="s">
        <v>509</v>
      </c>
      <c r="SO70" s="10">
        <v>2</v>
      </c>
      <c r="SP70" s="9">
        <v>3</v>
      </c>
      <c r="SQ70" s="11" t="s">
        <v>519</v>
      </c>
      <c r="SR70" s="9">
        <v>18</v>
      </c>
      <c r="SS70" s="28">
        <v>58.5</v>
      </c>
      <c r="ST70" s="28">
        <v>19</v>
      </c>
      <c r="SU70" s="28">
        <v>326</v>
      </c>
      <c r="SV70" s="28">
        <v>74</v>
      </c>
      <c r="SW70" s="28">
        <v>90</v>
      </c>
      <c r="SX70" s="28">
        <v>50</v>
      </c>
      <c r="SY70" s="29">
        <v>50</v>
      </c>
      <c r="SZ70" s="30">
        <v>40</v>
      </c>
      <c r="TA70" s="31">
        <v>24</v>
      </c>
      <c r="TB70" s="31">
        <v>35</v>
      </c>
    </row>
    <row r="71" spans="1:522" ht="15.75" customHeight="1" x14ac:dyDescent="0.2">
      <c r="A71" s="8">
        <v>10073</v>
      </c>
      <c r="B71" s="17"/>
      <c r="C71" s="17"/>
      <c r="D71" s="17"/>
      <c r="E71" s="17"/>
      <c r="F71" s="18"/>
      <c r="G71" s="18"/>
      <c r="H71" s="20">
        <v>16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21"/>
      <c r="SJ71" s="21"/>
      <c r="SK71" s="21"/>
      <c r="SL71" s="21"/>
      <c r="SM71" s="9">
        <v>10073</v>
      </c>
      <c r="SN71" s="9" t="s">
        <v>504</v>
      </c>
      <c r="SO71" s="10">
        <v>3</v>
      </c>
      <c r="SP71" s="9">
        <v>3</v>
      </c>
      <c r="SQ71" s="11" t="s">
        <v>517</v>
      </c>
      <c r="SR71" s="9">
        <v>16</v>
      </c>
      <c r="SS71" s="28">
        <v>63</v>
      </c>
      <c r="ST71" s="28">
        <v>16</v>
      </c>
      <c r="SU71" s="28">
        <v>21</v>
      </c>
      <c r="SV71" s="28">
        <v>0</v>
      </c>
      <c r="SW71" s="28">
        <v>7</v>
      </c>
      <c r="SX71" s="28">
        <v>17</v>
      </c>
      <c r="SY71" s="29">
        <v>25</v>
      </c>
      <c r="SZ71" s="30">
        <v>8</v>
      </c>
      <c r="TA71" s="31">
        <v>8</v>
      </c>
      <c r="TB71" s="31">
        <v>8</v>
      </c>
    </row>
    <row r="72" spans="1:522" ht="15.75" customHeight="1" x14ac:dyDescent="0.2">
      <c r="A72" s="8">
        <v>10074</v>
      </c>
      <c r="B72" s="17"/>
      <c r="C72" s="17"/>
      <c r="D72" s="17"/>
      <c r="E72" s="17"/>
      <c r="F72" s="18"/>
      <c r="G72" s="18"/>
      <c r="H72" s="20">
        <v>16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21"/>
      <c r="SJ72" s="21"/>
      <c r="SK72" s="21"/>
      <c r="SL72" s="21"/>
      <c r="SM72" s="9">
        <v>10074</v>
      </c>
      <c r="SN72" s="9" t="s">
        <v>504</v>
      </c>
      <c r="SO72" s="10">
        <v>1</v>
      </c>
      <c r="SP72" s="9">
        <v>1</v>
      </c>
      <c r="SQ72" s="11" t="s">
        <v>517</v>
      </c>
      <c r="SR72" s="9">
        <v>18</v>
      </c>
      <c r="SS72" s="28">
        <v>66</v>
      </c>
      <c r="ST72" s="28">
        <v>16</v>
      </c>
      <c r="SU72" s="28">
        <v>33</v>
      </c>
      <c r="SV72" s="28">
        <v>0</v>
      </c>
      <c r="SW72" s="28">
        <v>4</v>
      </c>
      <c r="SX72" s="28">
        <v>13</v>
      </c>
      <c r="SY72" s="29">
        <v>25</v>
      </c>
      <c r="SZ72" s="30">
        <v>8</v>
      </c>
      <c r="TA72" s="31">
        <v>9</v>
      </c>
      <c r="TB72" s="31">
        <v>9</v>
      </c>
    </row>
    <row r="73" spans="1:522" ht="15.75" customHeight="1" x14ac:dyDescent="0.2">
      <c r="A73" s="8">
        <v>10075</v>
      </c>
      <c r="B73" s="17"/>
      <c r="C73" s="17"/>
      <c r="D73" s="17"/>
      <c r="E73" s="17"/>
      <c r="F73" s="18"/>
      <c r="G73" s="18"/>
      <c r="H73" s="20">
        <v>15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21"/>
      <c r="SJ73" s="21"/>
      <c r="SK73" s="21"/>
      <c r="SL73" s="21"/>
      <c r="SM73" s="9">
        <v>10075</v>
      </c>
      <c r="SN73" s="9" t="s">
        <v>504</v>
      </c>
      <c r="SO73" s="10">
        <v>2</v>
      </c>
      <c r="SP73" s="9">
        <v>2</v>
      </c>
      <c r="SQ73" s="11" t="s">
        <v>517</v>
      </c>
      <c r="SR73" s="9">
        <v>18</v>
      </c>
      <c r="SS73" s="28">
        <v>57</v>
      </c>
      <c r="ST73" s="28">
        <v>15</v>
      </c>
      <c r="SU73" s="28">
        <v>10</v>
      </c>
      <c r="SV73" s="28">
        <v>0</v>
      </c>
      <c r="SW73" s="28">
        <v>0</v>
      </c>
      <c r="SX73" s="28">
        <v>5</v>
      </c>
      <c r="SY73" s="29">
        <v>37</v>
      </c>
      <c r="SZ73" s="30">
        <v>55</v>
      </c>
      <c r="TA73" s="31">
        <v>4</v>
      </c>
      <c r="TB73" s="31">
        <v>5</v>
      </c>
    </row>
    <row r="74" spans="1:522" ht="15.75" customHeight="1" x14ac:dyDescent="0.2">
      <c r="A74" s="8">
        <v>10076</v>
      </c>
      <c r="B74" s="17"/>
      <c r="C74" s="17"/>
      <c r="D74" s="17"/>
      <c r="E74" s="17"/>
      <c r="F74" s="18"/>
      <c r="G74" s="18"/>
      <c r="H74" s="20">
        <v>16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21"/>
      <c r="SJ74" s="21"/>
      <c r="SK74" s="21"/>
      <c r="SL74" s="21"/>
      <c r="SM74" s="9">
        <v>10076</v>
      </c>
      <c r="SN74" s="9" t="s">
        <v>509</v>
      </c>
      <c r="SO74" s="10">
        <v>3</v>
      </c>
      <c r="SP74" s="9">
        <v>3</v>
      </c>
      <c r="SQ74" s="11" t="s">
        <v>515</v>
      </c>
      <c r="SR74" s="9">
        <v>16</v>
      </c>
      <c r="SS74" s="28">
        <v>66</v>
      </c>
      <c r="ST74" s="28">
        <v>16</v>
      </c>
      <c r="SU74" s="28">
        <v>106</v>
      </c>
      <c r="SV74" s="28">
        <v>17</v>
      </c>
      <c r="SW74" s="28">
        <v>10</v>
      </c>
      <c r="SX74" s="28">
        <v>14</v>
      </c>
      <c r="SY74" s="29">
        <v>39</v>
      </c>
      <c r="SZ74" s="30">
        <v>30</v>
      </c>
      <c r="TA74" s="31">
        <v>12</v>
      </c>
      <c r="TB74" s="31">
        <v>12</v>
      </c>
    </row>
    <row r="75" spans="1:522" ht="15.75" customHeight="1" x14ac:dyDescent="0.2">
      <c r="A75" s="8">
        <v>10077</v>
      </c>
      <c r="B75" s="17"/>
      <c r="C75" s="17"/>
      <c r="D75" s="17"/>
      <c r="E75" s="17"/>
      <c r="F75" s="18"/>
      <c r="G75" s="18"/>
      <c r="H75" s="20">
        <v>17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21"/>
      <c r="SJ75" s="21"/>
      <c r="SK75" s="21"/>
      <c r="SL75" s="21"/>
      <c r="SM75" s="9">
        <v>10077</v>
      </c>
      <c r="SN75" s="9" t="s">
        <v>509</v>
      </c>
      <c r="SO75" s="10">
        <v>1</v>
      </c>
      <c r="SP75" s="9">
        <v>1</v>
      </c>
      <c r="SQ75" s="11" t="s">
        <v>517</v>
      </c>
      <c r="SR75" s="9">
        <v>18</v>
      </c>
      <c r="SS75" s="28">
        <v>45.5</v>
      </c>
      <c r="ST75" s="28">
        <v>17</v>
      </c>
      <c r="SU75" s="28">
        <v>185</v>
      </c>
      <c r="SV75" s="28">
        <v>29</v>
      </c>
      <c r="SW75" s="28">
        <v>3</v>
      </c>
      <c r="SX75" s="28">
        <v>6</v>
      </c>
      <c r="SY75" s="29">
        <v>36</v>
      </c>
      <c r="SZ75" s="30">
        <v>14</v>
      </c>
      <c r="TA75" s="31">
        <v>23</v>
      </c>
      <c r="TB75" s="31">
        <v>35</v>
      </c>
    </row>
    <row r="76" spans="1:522" ht="15.75" customHeight="1" x14ac:dyDescent="0.2">
      <c r="A76" s="8">
        <v>10078</v>
      </c>
      <c r="B76" s="17"/>
      <c r="C76" s="17"/>
      <c r="D76" s="17"/>
      <c r="E76" s="17"/>
      <c r="F76" s="18"/>
      <c r="G76" s="18"/>
      <c r="H76" s="20">
        <v>17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21"/>
      <c r="SJ76" s="21"/>
      <c r="SK76" s="21"/>
      <c r="SL76" s="21"/>
      <c r="SM76" s="9">
        <v>10078</v>
      </c>
      <c r="SN76" s="9" t="s">
        <v>509</v>
      </c>
      <c r="SO76" s="10">
        <v>2</v>
      </c>
      <c r="SP76" s="9">
        <v>2</v>
      </c>
      <c r="SQ76" s="11" t="s">
        <v>517</v>
      </c>
      <c r="SR76" s="9">
        <v>17</v>
      </c>
      <c r="SS76" s="28">
        <v>63</v>
      </c>
      <c r="ST76" s="28">
        <v>17</v>
      </c>
      <c r="SU76" s="28">
        <v>54</v>
      </c>
      <c r="SV76" s="28">
        <v>0</v>
      </c>
      <c r="SW76" s="28">
        <v>3</v>
      </c>
      <c r="SX76" s="28">
        <v>6</v>
      </c>
      <c r="SY76" s="29">
        <v>39</v>
      </c>
      <c r="SZ76" s="30">
        <v>19</v>
      </c>
      <c r="TA76" s="31">
        <v>13</v>
      </c>
      <c r="TB76" s="31">
        <v>9</v>
      </c>
    </row>
    <row r="77" spans="1:522" ht="15.75" customHeight="1" x14ac:dyDescent="0.2">
      <c r="A77" s="8">
        <v>10079</v>
      </c>
      <c r="B77" s="17"/>
      <c r="C77" s="17"/>
      <c r="D77" s="17"/>
      <c r="E77" s="17"/>
      <c r="F77" s="18"/>
      <c r="G77" s="18"/>
      <c r="H77" s="20">
        <v>18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21"/>
      <c r="SJ77" s="21"/>
      <c r="SK77" s="21"/>
      <c r="SL77" s="21"/>
      <c r="SM77" s="9">
        <v>10079</v>
      </c>
      <c r="SN77" s="9" t="s">
        <v>509</v>
      </c>
      <c r="SO77" s="10">
        <v>1</v>
      </c>
      <c r="SP77" s="9">
        <v>2</v>
      </c>
      <c r="SQ77" s="11" t="s">
        <v>517</v>
      </c>
      <c r="SR77" s="9">
        <v>18</v>
      </c>
      <c r="SS77" s="28">
        <v>66</v>
      </c>
      <c r="ST77" s="28">
        <v>18</v>
      </c>
      <c r="SU77" s="28">
        <v>27</v>
      </c>
      <c r="SV77" s="28">
        <v>0</v>
      </c>
      <c r="SW77" s="28">
        <v>12</v>
      </c>
      <c r="SX77" s="28">
        <v>7</v>
      </c>
      <c r="SY77" s="29">
        <v>28</v>
      </c>
      <c r="SZ77" s="30">
        <v>0</v>
      </c>
      <c r="TA77" s="31">
        <v>5</v>
      </c>
      <c r="TB77" s="31">
        <v>0</v>
      </c>
    </row>
    <row r="78" spans="1:522" ht="15.75" customHeight="1" x14ac:dyDescent="0.2">
      <c r="A78" s="8">
        <v>10080</v>
      </c>
      <c r="B78" s="17"/>
      <c r="C78" s="17"/>
      <c r="D78" s="17"/>
      <c r="E78" s="17"/>
      <c r="F78" s="18"/>
      <c r="G78" s="18"/>
      <c r="H78" s="20">
        <v>15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21"/>
      <c r="SJ78" s="21"/>
      <c r="SK78" s="21"/>
      <c r="SL78" s="21"/>
      <c r="SM78" s="9">
        <v>10080</v>
      </c>
      <c r="SN78" s="9" t="s">
        <v>509</v>
      </c>
      <c r="SO78" s="10">
        <v>3</v>
      </c>
      <c r="SP78" s="9">
        <v>3</v>
      </c>
      <c r="SQ78" s="11" t="s">
        <v>517</v>
      </c>
      <c r="SR78" s="9">
        <v>16</v>
      </c>
      <c r="SS78" s="28">
        <v>59.5</v>
      </c>
      <c r="ST78" s="28">
        <v>15</v>
      </c>
      <c r="SU78" s="28">
        <v>77</v>
      </c>
      <c r="SV78" s="28">
        <v>16</v>
      </c>
      <c r="SW78" s="28">
        <v>14</v>
      </c>
      <c r="SX78" s="28">
        <v>32</v>
      </c>
      <c r="SY78" s="29">
        <v>25</v>
      </c>
      <c r="SZ78" s="30">
        <v>10</v>
      </c>
      <c r="TA78" s="31">
        <v>17</v>
      </c>
      <c r="TB78" s="31">
        <v>25</v>
      </c>
    </row>
    <row r="79" spans="1:522" ht="15.75" customHeight="1" x14ac:dyDescent="0.2">
      <c r="A79" s="8">
        <v>10081</v>
      </c>
      <c r="B79" s="17"/>
      <c r="C79" s="17"/>
      <c r="D79" s="17"/>
      <c r="E79" s="17"/>
      <c r="F79" s="18"/>
      <c r="G79" s="18"/>
      <c r="H79" s="20">
        <v>17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21"/>
      <c r="SJ79" s="21"/>
      <c r="SK79" s="21"/>
      <c r="SL79" s="21"/>
      <c r="SM79" s="9">
        <v>10081</v>
      </c>
      <c r="SN79" s="9" t="s">
        <v>504</v>
      </c>
      <c r="SO79" s="10">
        <v>1</v>
      </c>
      <c r="SP79" s="9">
        <v>1</v>
      </c>
      <c r="SQ79" s="11" t="s">
        <v>517</v>
      </c>
      <c r="SR79" s="9">
        <v>18</v>
      </c>
      <c r="SS79" s="28">
        <v>50.5</v>
      </c>
      <c r="ST79" s="28">
        <v>17</v>
      </c>
      <c r="SU79" s="28">
        <v>94</v>
      </c>
      <c r="SV79" s="28">
        <v>11</v>
      </c>
      <c r="SW79" s="28">
        <v>17</v>
      </c>
      <c r="SX79" s="28">
        <v>17</v>
      </c>
      <c r="SY79" s="29">
        <v>38</v>
      </c>
      <c r="SZ79" s="30">
        <v>25</v>
      </c>
      <c r="TA79" s="31">
        <v>12</v>
      </c>
      <c r="TB79" s="31">
        <v>10</v>
      </c>
    </row>
    <row r="80" spans="1:522" ht="15.75" customHeight="1" x14ac:dyDescent="0.2">
      <c r="A80" s="8">
        <v>10082</v>
      </c>
      <c r="B80" s="17"/>
      <c r="C80" s="17"/>
      <c r="D80" s="17"/>
      <c r="E80" s="17"/>
      <c r="F80" s="18"/>
      <c r="G80" s="18"/>
      <c r="H80" s="20">
        <v>16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21"/>
      <c r="SJ80" s="21"/>
      <c r="SK80" s="21"/>
      <c r="SL80" s="21"/>
      <c r="SM80" s="9">
        <v>10082</v>
      </c>
      <c r="SN80" s="9" t="s">
        <v>504</v>
      </c>
      <c r="SO80" s="10">
        <v>3</v>
      </c>
      <c r="SP80" s="9">
        <v>3</v>
      </c>
      <c r="SQ80" s="11" t="s">
        <v>517</v>
      </c>
      <c r="SR80" s="9">
        <v>16</v>
      </c>
      <c r="SS80" s="28">
        <v>58</v>
      </c>
      <c r="ST80" s="28">
        <v>16</v>
      </c>
      <c r="SU80" s="28">
        <v>55</v>
      </c>
      <c r="SV80" s="28">
        <v>7</v>
      </c>
      <c r="SW80" s="28">
        <v>1</v>
      </c>
      <c r="SX80" s="28">
        <v>5</v>
      </c>
      <c r="SY80" s="29">
        <v>28</v>
      </c>
      <c r="SZ80" s="30">
        <v>12</v>
      </c>
      <c r="TA80" s="31">
        <v>8</v>
      </c>
      <c r="TB80" s="31">
        <v>8</v>
      </c>
    </row>
    <row r="81" spans="1:522" ht="15.75" customHeight="1" x14ac:dyDescent="0.2">
      <c r="A81" s="8">
        <v>10083</v>
      </c>
      <c r="B81" s="17"/>
      <c r="C81" s="17"/>
      <c r="D81" s="17"/>
      <c r="E81" s="17"/>
      <c r="F81" s="18"/>
      <c r="G81" s="18"/>
      <c r="H81" s="20">
        <v>16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21"/>
      <c r="SJ81" s="21"/>
      <c r="SK81" s="21"/>
      <c r="SL81" s="21"/>
      <c r="SM81" s="9">
        <v>10083</v>
      </c>
      <c r="SN81" s="9" t="s">
        <v>504</v>
      </c>
      <c r="SO81" s="10">
        <v>1</v>
      </c>
      <c r="SP81" s="9">
        <v>1</v>
      </c>
      <c r="SQ81" s="11" t="s">
        <v>515</v>
      </c>
      <c r="SR81" s="9">
        <v>16</v>
      </c>
      <c r="SS81" s="28">
        <v>58</v>
      </c>
      <c r="ST81" s="28">
        <v>16</v>
      </c>
      <c r="SU81" s="28">
        <v>38</v>
      </c>
      <c r="SV81" s="28">
        <v>0</v>
      </c>
      <c r="SW81" s="28">
        <v>22</v>
      </c>
      <c r="SX81" s="28">
        <v>37</v>
      </c>
      <c r="SY81" s="29">
        <v>19</v>
      </c>
      <c r="SZ81" s="30">
        <v>0</v>
      </c>
      <c r="TA81" s="31">
        <v>6</v>
      </c>
      <c r="TB81" s="31">
        <v>5</v>
      </c>
    </row>
    <row r="82" spans="1:522" ht="15.75" customHeight="1" x14ac:dyDescent="0.2">
      <c r="A82" s="8">
        <v>10084</v>
      </c>
      <c r="B82" s="17"/>
      <c r="C82" s="17"/>
      <c r="D82" s="17"/>
      <c r="E82" s="17"/>
      <c r="F82" s="18"/>
      <c r="G82" s="18"/>
      <c r="H82" s="20">
        <v>16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21"/>
      <c r="SJ82" s="21"/>
      <c r="SK82" s="21"/>
      <c r="SL82" s="21"/>
      <c r="SM82" s="9">
        <v>10084</v>
      </c>
      <c r="SN82" s="9" t="s">
        <v>504</v>
      </c>
      <c r="SO82" s="10">
        <v>1</v>
      </c>
      <c r="SP82" s="9">
        <v>1</v>
      </c>
      <c r="SQ82" s="11" t="s">
        <v>517</v>
      </c>
      <c r="SR82" s="9">
        <v>16</v>
      </c>
      <c r="SS82" s="28">
        <v>59.5</v>
      </c>
      <c r="ST82" s="28">
        <v>16</v>
      </c>
      <c r="SU82" s="28">
        <v>27</v>
      </c>
      <c r="SV82" s="28">
        <v>0</v>
      </c>
      <c r="SW82" s="28">
        <v>6</v>
      </c>
      <c r="SX82" s="28">
        <v>15</v>
      </c>
      <c r="SY82" s="29">
        <v>29</v>
      </c>
      <c r="SZ82" s="30">
        <v>14</v>
      </c>
      <c r="TA82" s="31">
        <v>11</v>
      </c>
      <c r="TB82" s="31">
        <v>12</v>
      </c>
    </row>
    <row r="83" spans="1:522" ht="15.75" customHeight="1" x14ac:dyDescent="0.2">
      <c r="A83" s="8">
        <v>10085</v>
      </c>
      <c r="B83" s="17"/>
      <c r="C83" s="17"/>
      <c r="D83" s="17"/>
      <c r="E83" s="17"/>
      <c r="F83" s="18"/>
      <c r="G83" s="18"/>
      <c r="H83" s="20">
        <v>18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21"/>
      <c r="SJ83" s="21"/>
      <c r="SK83" s="21"/>
      <c r="SL83" s="21"/>
      <c r="SM83" s="9">
        <v>10085</v>
      </c>
      <c r="SN83" s="9" t="s">
        <v>504</v>
      </c>
      <c r="SO83" s="10">
        <v>2</v>
      </c>
      <c r="SP83" s="9">
        <v>2</v>
      </c>
      <c r="SQ83" s="11" t="s">
        <v>517</v>
      </c>
      <c r="SR83" s="9">
        <v>18</v>
      </c>
      <c r="SS83" s="28">
        <v>66</v>
      </c>
      <c r="ST83" s="28">
        <v>18</v>
      </c>
      <c r="SU83" s="28">
        <v>177</v>
      </c>
      <c r="SV83" s="28">
        <v>23</v>
      </c>
      <c r="SW83" s="28">
        <v>55</v>
      </c>
      <c r="SX83" s="28">
        <v>30</v>
      </c>
      <c r="SY83" s="29">
        <v>33</v>
      </c>
      <c r="SZ83" s="30">
        <v>7</v>
      </c>
      <c r="TA83" s="31">
        <v>19</v>
      </c>
      <c r="TB83" s="31">
        <v>23</v>
      </c>
    </row>
    <row r="84" spans="1:522" ht="15.75" customHeight="1" x14ac:dyDescent="0.2">
      <c r="A84" s="8">
        <v>10086</v>
      </c>
      <c r="B84" s="17"/>
      <c r="C84" s="17"/>
      <c r="D84" s="17"/>
      <c r="E84" s="17"/>
      <c r="F84" s="18"/>
      <c r="G84" s="18"/>
      <c r="H84" s="20">
        <v>16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21"/>
      <c r="SJ84" s="21"/>
      <c r="SK84" s="21"/>
      <c r="SL84" s="21"/>
      <c r="SM84" s="9">
        <v>10086</v>
      </c>
      <c r="SN84" s="9" t="s">
        <v>504</v>
      </c>
      <c r="SO84" s="10">
        <v>2</v>
      </c>
      <c r="SP84" s="9">
        <v>2</v>
      </c>
      <c r="SQ84" s="11" t="s">
        <v>515</v>
      </c>
      <c r="SR84" s="9">
        <v>14</v>
      </c>
      <c r="SS84" s="28">
        <v>42.5</v>
      </c>
      <c r="ST84" s="28">
        <v>16</v>
      </c>
      <c r="SU84" s="28">
        <v>59</v>
      </c>
      <c r="SV84" s="28">
        <v>8</v>
      </c>
      <c r="SW84" s="28">
        <v>6</v>
      </c>
      <c r="SX84" s="28">
        <v>15</v>
      </c>
      <c r="SY84" s="29">
        <v>45</v>
      </c>
      <c r="SZ84" s="30">
        <v>73</v>
      </c>
      <c r="TA84" s="31">
        <v>17</v>
      </c>
      <c r="TB84" s="31">
        <v>28</v>
      </c>
    </row>
    <row r="85" spans="1:522" ht="15.75" customHeight="1" x14ac:dyDescent="0.2">
      <c r="A85" s="8">
        <v>10087</v>
      </c>
      <c r="B85" s="17"/>
      <c r="C85" s="17"/>
      <c r="D85" s="17"/>
      <c r="E85" s="17"/>
      <c r="F85" s="18"/>
      <c r="G85" s="18"/>
      <c r="H85" s="20">
        <v>16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21"/>
      <c r="SJ85" s="21"/>
      <c r="SK85" s="21"/>
      <c r="SL85" s="21"/>
      <c r="SM85" s="9">
        <v>10087</v>
      </c>
      <c r="SN85" s="9" t="s">
        <v>509</v>
      </c>
      <c r="SO85" s="10">
        <v>3</v>
      </c>
      <c r="SP85" s="9">
        <v>3</v>
      </c>
      <c r="SQ85" s="11" t="s">
        <v>517</v>
      </c>
      <c r="SR85" s="9">
        <v>17</v>
      </c>
      <c r="SS85" s="28">
        <v>27</v>
      </c>
      <c r="ST85" s="28">
        <v>16</v>
      </c>
      <c r="SU85" s="28">
        <v>57</v>
      </c>
      <c r="SV85" s="28">
        <v>0</v>
      </c>
      <c r="SW85" s="28">
        <v>7</v>
      </c>
      <c r="SX85" s="28">
        <v>12</v>
      </c>
      <c r="SY85" s="29">
        <v>38</v>
      </c>
      <c r="SZ85" s="30">
        <v>25</v>
      </c>
      <c r="TA85" s="31">
        <v>13</v>
      </c>
      <c r="TB85" s="31">
        <v>13</v>
      </c>
    </row>
    <row r="86" spans="1:522" ht="15.75" customHeight="1" x14ac:dyDescent="0.2">
      <c r="A86" s="8">
        <v>10088</v>
      </c>
      <c r="B86" s="17"/>
      <c r="C86" s="17"/>
      <c r="D86" s="17"/>
      <c r="E86" s="17"/>
      <c r="F86" s="18"/>
      <c r="G86" s="18"/>
      <c r="H86" s="20">
        <v>16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21"/>
      <c r="SJ86" s="21"/>
      <c r="SK86" s="21"/>
      <c r="SL86" s="21"/>
      <c r="SM86" s="9">
        <v>10088</v>
      </c>
      <c r="SN86" s="9" t="s">
        <v>504</v>
      </c>
      <c r="SO86" s="10">
        <v>3</v>
      </c>
      <c r="SP86" s="9">
        <v>3</v>
      </c>
      <c r="SQ86" s="11" t="s">
        <v>517</v>
      </c>
      <c r="SR86" s="9">
        <v>18</v>
      </c>
      <c r="SS86" s="28">
        <v>61</v>
      </c>
      <c r="ST86" s="28">
        <v>16</v>
      </c>
      <c r="SU86" s="28">
        <v>77</v>
      </c>
      <c r="SV86" s="28">
        <v>12</v>
      </c>
      <c r="SW86" s="28">
        <v>0</v>
      </c>
      <c r="SX86" s="28">
        <v>0</v>
      </c>
      <c r="SY86" s="29">
        <v>25</v>
      </c>
      <c r="SZ86" s="30">
        <v>8</v>
      </c>
      <c r="TA86" s="31">
        <v>18</v>
      </c>
      <c r="TB86" s="31">
        <v>30</v>
      </c>
    </row>
    <row r="87" spans="1:522" ht="15.75" customHeight="1" x14ac:dyDescent="0.2">
      <c r="A87" s="8">
        <v>10089</v>
      </c>
      <c r="B87" s="17"/>
      <c r="C87" s="17"/>
      <c r="D87" s="17"/>
      <c r="E87" s="17"/>
      <c r="F87" s="18"/>
      <c r="G87" s="18"/>
      <c r="H87" s="20">
        <v>16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21"/>
      <c r="SJ87" s="21"/>
      <c r="SK87" s="21"/>
      <c r="SL87" s="21"/>
      <c r="SM87" s="9">
        <v>10089</v>
      </c>
      <c r="SN87" s="9" t="s">
        <v>504</v>
      </c>
      <c r="SO87" s="10">
        <v>2</v>
      </c>
      <c r="SP87" s="9">
        <v>2</v>
      </c>
      <c r="SQ87" s="11" t="s">
        <v>517</v>
      </c>
      <c r="SR87" s="9">
        <v>16</v>
      </c>
      <c r="SS87" s="28">
        <v>58</v>
      </c>
      <c r="ST87" s="28">
        <v>16</v>
      </c>
      <c r="SU87" s="28">
        <v>99</v>
      </c>
      <c r="SV87" s="28">
        <v>18</v>
      </c>
      <c r="SW87" s="28">
        <v>5</v>
      </c>
      <c r="SX87" s="28">
        <v>14</v>
      </c>
      <c r="SY87" s="29">
        <v>41</v>
      </c>
      <c r="SZ87" s="30">
        <v>55</v>
      </c>
      <c r="TA87" s="31">
        <v>15</v>
      </c>
      <c r="TB87" s="31">
        <v>23</v>
      </c>
    </row>
    <row r="88" spans="1:522" ht="15.75" customHeight="1" x14ac:dyDescent="0.2">
      <c r="A88" s="8">
        <v>10090</v>
      </c>
      <c r="B88" s="22"/>
      <c r="C88" s="22"/>
      <c r="D88" s="22"/>
      <c r="E88" s="22"/>
      <c r="F88" s="22"/>
      <c r="G88" s="22"/>
      <c r="H88" s="20">
        <v>18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  <c r="IZ88" s="22"/>
      <c r="JA88" s="22"/>
      <c r="JB88" s="22"/>
      <c r="JC88" s="22"/>
      <c r="JD88" s="22"/>
      <c r="JE88" s="22"/>
      <c r="JF88" s="22"/>
      <c r="JG88" s="22"/>
      <c r="JH88" s="22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2"/>
      <c r="LK88" s="22"/>
      <c r="LL88" s="22"/>
      <c r="LM88" s="22"/>
      <c r="LN88" s="22"/>
      <c r="LO88" s="22"/>
      <c r="LP88" s="22"/>
      <c r="LQ88" s="22"/>
      <c r="LR88" s="22"/>
      <c r="LS88" s="22"/>
      <c r="LT88" s="22"/>
      <c r="LU88" s="22"/>
      <c r="LV88" s="22"/>
      <c r="LW88" s="22"/>
      <c r="LX88" s="22"/>
      <c r="LY88" s="22"/>
      <c r="LZ88" s="22"/>
      <c r="MA88" s="22"/>
      <c r="MB88" s="22"/>
      <c r="MC88" s="22"/>
      <c r="MD88" s="22"/>
      <c r="ME88" s="22"/>
      <c r="MF88" s="22"/>
      <c r="MG88" s="22"/>
      <c r="MH88" s="22"/>
      <c r="MI88" s="22"/>
      <c r="MJ88" s="22"/>
      <c r="MK88" s="22"/>
      <c r="ML88" s="22"/>
      <c r="MM88" s="22"/>
      <c r="MN88" s="22"/>
      <c r="MO88" s="22"/>
      <c r="MP88" s="22"/>
      <c r="MQ88" s="22"/>
      <c r="MR88" s="22"/>
      <c r="MS88" s="22"/>
      <c r="MT88" s="22"/>
      <c r="MU88" s="22"/>
      <c r="MV88" s="22"/>
      <c r="MW88" s="22"/>
      <c r="MX88" s="22"/>
      <c r="MY88" s="22"/>
      <c r="MZ88" s="22"/>
      <c r="NA88" s="22"/>
      <c r="NB88" s="22"/>
      <c r="NC88" s="22"/>
      <c r="ND88" s="22"/>
      <c r="NE88" s="22"/>
      <c r="NF88" s="22"/>
      <c r="NG88" s="22"/>
      <c r="NH88" s="22"/>
      <c r="NI88" s="22"/>
      <c r="NJ88" s="22"/>
      <c r="NK88" s="22"/>
      <c r="NL88" s="22"/>
      <c r="NM88" s="22"/>
      <c r="NN88" s="22"/>
      <c r="NO88" s="22"/>
      <c r="NP88" s="22"/>
      <c r="NQ88" s="22"/>
      <c r="NR88" s="22"/>
      <c r="NS88" s="22"/>
      <c r="NT88" s="22"/>
      <c r="NU88" s="22"/>
      <c r="NV88" s="22"/>
      <c r="NW88" s="22"/>
      <c r="NX88" s="22"/>
      <c r="NY88" s="22"/>
      <c r="NZ88" s="22"/>
      <c r="OA88" s="22"/>
      <c r="OB88" s="22"/>
      <c r="OC88" s="22"/>
      <c r="OD88" s="22"/>
      <c r="OE88" s="22"/>
      <c r="OF88" s="22"/>
      <c r="OG88" s="22"/>
      <c r="OH88" s="22"/>
      <c r="OI88" s="22"/>
      <c r="OJ88" s="22"/>
      <c r="OK88" s="22"/>
      <c r="OL88" s="22"/>
      <c r="OM88" s="22"/>
      <c r="ON88" s="22"/>
      <c r="OO88" s="22"/>
      <c r="OP88" s="22"/>
      <c r="OQ88" s="22"/>
      <c r="OR88" s="22"/>
      <c r="OS88" s="22"/>
      <c r="OT88" s="22"/>
      <c r="OU88" s="22"/>
      <c r="OV88" s="22"/>
      <c r="OW88" s="22"/>
      <c r="OX88" s="22"/>
      <c r="OY88" s="22"/>
      <c r="OZ88" s="22"/>
      <c r="PA88" s="22"/>
      <c r="PB88" s="22"/>
      <c r="PC88" s="22"/>
      <c r="PD88" s="22"/>
      <c r="PE88" s="22"/>
      <c r="PF88" s="22"/>
      <c r="PG88" s="22"/>
      <c r="PH88" s="22"/>
      <c r="PI88" s="22"/>
      <c r="PJ88" s="22"/>
      <c r="PK88" s="22"/>
      <c r="PL88" s="22"/>
      <c r="PM88" s="22"/>
      <c r="PN88" s="22"/>
      <c r="PO88" s="22"/>
      <c r="PP88" s="22"/>
      <c r="PQ88" s="22"/>
      <c r="PR88" s="22"/>
      <c r="PS88" s="22"/>
      <c r="PT88" s="22"/>
      <c r="PU88" s="22"/>
      <c r="PV88" s="22"/>
      <c r="PW88" s="22"/>
      <c r="PX88" s="22"/>
      <c r="PY88" s="22"/>
      <c r="PZ88" s="22"/>
      <c r="QA88" s="22"/>
      <c r="QB88" s="22"/>
      <c r="QC88" s="22"/>
      <c r="QD88" s="22"/>
      <c r="QE88" s="22"/>
      <c r="QF88" s="22"/>
      <c r="QG88" s="22"/>
      <c r="QH88" s="22"/>
      <c r="QI88" s="22"/>
      <c r="QJ88" s="22"/>
      <c r="QK88" s="22"/>
      <c r="QL88" s="22"/>
      <c r="QM88" s="22"/>
      <c r="QN88" s="22"/>
      <c r="QO88" s="22"/>
      <c r="QP88" s="22"/>
      <c r="QQ88" s="22"/>
      <c r="QR88" s="22"/>
      <c r="QS88" s="22"/>
      <c r="QT88" s="22"/>
      <c r="QU88" s="22"/>
      <c r="QV88" s="22"/>
      <c r="QW88" s="22"/>
      <c r="QX88" s="22"/>
      <c r="QY88" s="22"/>
      <c r="QZ88" s="22"/>
      <c r="RA88" s="22"/>
      <c r="RB88" s="22"/>
      <c r="RC88" s="22"/>
      <c r="RD88" s="22"/>
      <c r="RE88" s="22"/>
      <c r="RF88" s="22"/>
      <c r="RG88" s="22"/>
      <c r="RH88" s="22"/>
      <c r="RI88" s="22"/>
      <c r="RJ88" s="22"/>
      <c r="RK88" s="22"/>
      <c r="RL88" s="22"/>
      <c r="RM88" s="22"/>
      <c r="RN88" s="22"/>
      <c r="RO88" s="22"/>
      <c r="RP88" s="22"/>
      <c r="RQ88" s="22"/>
      <c r="RR88" s="22"/>
      <c r="RS88" s="22"/>
      <c r="RT88" s="22"/>
      <c r="RU88" s="22"/>
      <c r="RV88" s="22"/>
      <c r="RW88" s="22"/>
      <c r="RX88" s="22"/>
      <c r="RY88" s="22"/>
      <c r="RZ88" s="22"/>
      <c r="SA88" s="22"/>
      <c r="SB88" s="22"/>
      <c r="SC88" s="22"/>
      <c r="SD88" s="22"/>
      <c r="SE88" s="22"/>
      <c r="SF88" s="22"/>
      <c r="SG88" s="22"/>
      <c r="SH88" s="22"/>
      <c r="SM88" s="9">
        <v>10090</v>
      </c>
      <c r="SN88" s="9" t="s">
        <v>504</v>
      </c>
      <c r="SO88" s="10">
        <v>1</v>
      </c>
      <c r="SP88" s="9">
        <v>1</v>
      </c>
      <c r="SQ88" s="11" t="s">
        <v>504</v>
      </c>
      <c r="SR88" s="9">
        <v>18</v>
      </c>
      <c r="SS88" s="28">
        <v>66</v>
      </c>
      <c r="ST88" s="28">
        <v>18</v>
      </c>
      <c r="SU88" s="28">
        <v>64</v>
      </c>
      <c r="SV88" s="28">
        <v>0</v>
      </c>
      <c r="SW88" s="28">
        <v>38</v>
      </c>
      <c r="SX88" s="28">
        <v>19</v>
      </c>
      <c r="SY88" s="29">
        <v>37</v>
      </c>
      <c r="SZ88" s="30">
        <v>12</v>
      </c>
      <c r="TA88" s="31">
        <v>10</v>
      </c>
      <c r="TB88" s="31">
        <v>0</v>
      </c>
    </row>
    <row r="89" spans="1:522" ht="15.75" customHeight="1" x14ac:dyDescent="0.2">
      <c r="A89" s="22">
        <v>10091</v>
      </c>
      <c r="B89" s="22" t="s">
        <v>501</v>
      </c>
      <c r="C89" s="22" t="s">
        <v>502</v>
      </c>
      <c r="D89" s="22" t="s">
        <v>535</v>
      </c>
      <c r="E89" s="22" t="s">
        <v>509</v>
      </c>
      <c r="F89" s="23">
        <v>38933</v>
      </c>
      <c r="G89" s="23">
        <v>39491</v>
      </c>
      <c r="H89" s="14">
        <f t="shared" ref="H89:H121" si="6">DATEDIF(F89, G89, "M")</f>
        <v>18</v>
      </c>
      <c r="I89" s="22" t="s">
        <v>536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17"/>
      <c r="AE89" s="22">
        <v>1</v>
      </c>
      <c r="AF89" s="17"/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17"/>
      <c r="AO89" s="22" t="s">
        <v>507</v>
      </c>
      <c r="AP89" s="22" t="s">
        <v>508</v>
      </c>
      <c r="AQ89" s="22">
        <v>2</v>
      </c>
      <c r="AR89" s="17"/>
      <c r="AS89" s="17"/>
      <c r="AT89" s="17"/>
      <c r="AU89" s="17"/>
      <c r="AV89" s="17"/>
      <c r="AW89" s="17"/>
      <c r="AX89" s="17"/>
      <c r="AY89" s="22">
        <v>2</v>
      </c>
      <c r="AZ89" s="17"/>
      <c r="BA89" s="17"/>
      <c r="BB89" s="17"/>
      <c r="BC89" s="17"/>
      <c r="BD89" s="22">
        <v>1</v>
      </c>
      <c r="BE89" s="17"/>
      <c r="BF89" s="17"/>
      <c r="BG89" s="17"/>
      <c r="BH89" s="22">
        <v>1</v>
      </c>
      <c r="BI89" s="17"/>
      <c r="BJ89" s="22">
        <v>1</v>
      </c>
      <c r="BK89" s="17"/>
      <c r="BL89" s="17"/>
      <c r="BM89" s="17"/>
      <c r="BN89" s="22">
        <v>1</v>
      </c>
      <c r="BO89" s="17"/>
      <c r="BP89" s="17"/>
      <c r="BQ89" s="17"/>
      <c r="BR89" s="17"/>
      <c r="BS89" s="17"/>
      <c r="BT89" s="17"/>
      <c r="BU89" s="17"/>
      <c r="BV89" s="17"/>
      <c r="BW89" s="22">
        <v>1</v>
      </c>
      <c r="BX89" s="17"/>
      <c r="BY89" s="17"/>
      <c r="BZ89" s="17"/>
      <c r="CA89" s="22">
        <v>1</v>
      </c>
      <c r="CB89" s="17"/>
      <c r="CC89" s="17"/>
      <c r="CD89" s="17"/>
      <c r="CE89" s="17"/>
      <c r="CF89" s="17"/>
      <c r="CG89" s="17"/>
      <c r="CH89" s="17"/>
      <c r="CI89" s="22">
        <v>1</v>
      </c>
      <c r="CJ89" s="17"/>
      <c r="CK89" s="17"/>
      <c r="CL89" s="17"/>
      <c r="CM89" s="17"/>
      <c r="CN89" s="22">
        <v>1</v>
      </c>
      <c r="CO89" s="17"/>
      <c r="CP89" s="22">
        <v>1</v>
      </c>
      <c r="CQ89" s="17"/>
      <c r="CR89" s="17"/>
      <c r="CS89" s="22">
        <v>1</v>
      </c>
      <c r="CT89" s="17"/>
      <c r="CU89" s="17"/>
      <c r="CV89" s="22">
        <v>1</v>
      </c>
      <c r="CW89" s="22">
        <v>1</v>
      </c>
      <c r="CX89" s="17"/>
      <c r="CY89" s="22">
        <v>1</v>
      </c>
      <c r="CZ89" s="17"/>
      <c r="DA89" s="22">
        <v>1</v>
      </c>
      <c r="DB89" s="22">
        <v>1</v>
      </c>
      <c r="DC89" s="22">
        <v>1</v>
      </c>
      <c r="DD89" s="17"/>
      <c r="DE89" s="22">
        <v>1</v>
      </c>
      <c r="DF89" s="22">
        <v>1</v>
      </c>
      <c r="DG89" s="17"/>
      <c r="DH89" s="17"/>
      <c r="DI89" s="17"/>
      <c r="DJ89" s="17"/>
      <c r="DK89" s="22">
        <v>1</v>
      </c>
      <c r="DL89" s="22">
        <v>1</v>
      </c>
      <c r="DM89" s="22">
        <v>1</v>
      </c>
      <c r="DN89" s="22">
        <v>1</v>
      </c>
      <c r="DO89" s="22">
        <v>1</v>
      </c>
      <c r="DP89" s="22">
        <v>1</v>
      </c>
      <c r="DQ89" s="22">
        <v>1</v>
      </c>
      <c r="DR89" s="22">
        <v>1</v>
      </c>
      <c r="DS89" s="17"/>
      <c r="DT89" s="17"/>
      <c r="DU89" s="22">
        <v>1</v>
      </c>
      <c r="DV89" s="22">
        <v>1</v>
      </c>
      <c r="DW89" s="22">
        <v>1</v>
      </c>
      <c r="DX89" s="17"/>
      <c r="DY89" s="22">
        <v>1</v>
      </c>
      <c r="DZ89" s="22">
        <v>1</v>
      </c>
      <c r="EA89" s="17"/>
      <c r="EB89" s="22">
        <v>1</v>
      </c>
      <c r="EC89" s="17"/>
      <c r="ED89" s="17"/>
      <c r="EE89" s="22">
        <v>1</v>
      </c>
      <c r="EF89" s="22">
        <v>1</v>
      </c>
      <c r="EG89" s="22">
        <v>1</v>
      </c>
      <c r="EH89" s="17"/>
      <c r="EI89" s="22">
        <v>1</v>
      </c>
      <c r="EJ89" s="22">
        <v>1</v>
      </c>
      <c r="EK89" s="22">
        <v>1</v>
      </c>
      <c r="EL89" s="22">
        <v>1</v>
      </c>
      <c r="EM89" s="22">
        <v>1</v>
      </c>
      <c r="EN89" s="22">
        <v>1</v>
      </c>
      <c r="EO89" s="22">
        <v>2</v>
      </c>
      <c r="EP89" s="22">
        <v>1</v>
      </c>
      <c r="EQ89" s="17"/>
      <c r="ER89" s="22">
        <v>1</v>
      </c>
      <c r="ES89" s="22">
        <v>1</v>
      </c>
      <c r="ET89" s="22">
        <v>1</v>
      </c>
      <c r="EU89" s="22">
        <v>1</v>
      </c>
      <c r="EV89" s="22">
        <v>1</v>
      </c>
      <c r="EW89" s="17"/>
      <c r="EX89" s="22">
        <v>1</v>
      </c>
      <c r="EY89" s="22">
        <v>1</v>
      </c>
      <c r="EZ89" s="22">
        <v>1</v>
      </c>
      <c r="FA89" s="17"/>
      <c r="FB89" s="22">
        <v>1</v>
      </c>
      <c r="FC89" s="17"/>
      <c r="FD89" s="22">
        <v>1</v>
      </c>
      <c r="FE89" s="22">
        <v>1</v>
      </c>
      <c r="FF89" s="17"/>
      <c r="FG89" s="22">
        <v>1</v>
      </c>
      <c r="FH89" s="22">
        <v>1</v>
      </c>
      <c r="FI89" s="22">
        <v>1</v>
      </c>
      <c r="FJ89" s="22">
        <v>1</v>
      </c>
      <c r="FK89" s="17"/>
      <c r="FL89" s="17"/>
      <c r="FM89" s="17"/>
      <c r="FN89" s="22">
        <v>1</v>
      </c>
      <c r="FO89" s="22">
        <v>1</v>
      </c>
      <c r="FP89" s="22">
        <v>1</v>
      </c>
      <c r="FQ89" s="22">
        <v>1</v>
      </c>
      <c r="FR89" s="22">
        <v>1</v>
      </c>
      <c r="FS89" s="17"/>
      <c r="FT89" s="22">
        <v>1</v>
      </c>
      <c r="FU89" s="22">
        <v>1</v>
      </c>
      <c r="FV89" s="22">
        <v>1</v>
      </c>
      <c r="FW89" s="22">
        <v>1</v>
      </c>
      <c r="FX89" s="17"/>
      <c r="FY89" s="22">
        <v>1</v>
      </c>
      <c r="FZ89" s="22">
        <v>1</v>
      </c>
      <c r="GA89" s="17"/>
      <c r="GB89" s="22">
        <v>1</v>
      </c>
      <c r="GC89" s="22">
        <v>1</v>
      </c>
      <c r="GD89" s="17"/>
      <c r="GE89" s="17"/>
      <c r="GF89" s="17"/>
      <c r="GG89" s="22">
        <v>1</v>
      </c>
      <c r="GH89" s="17"/>
      <c r="GI89" s="22">
        <v>1</v>
      </c>
      <c r="GJ89" s="17"/>
      <c r="GK89" s="22">
        <v>1</v>
      </c>
      <c r="GL89" s="17"/>
      <c r="GM89" s="17"/>
      <c r="GN89" s="22">
        <v>1</v>
      </c>
      <c r="GO89" s="17"/>
      <c r="GP89" s="17"/>
      <c r="GQ89" s="17"/>
      <c r="GR89" s="17"/>
      <c r="GS89" s="17"/>
      <c r="GT89" s="22">
        <v>1</v>
      </c>
      <c r="GU89" s="17"/>
      <c r="GV89" s="17"/>
      <c r="GW89" s="22">
        <v>1</v>
      </c>
      <c r="GX89" s="22">
        <v>1</v>
      </c>
      <c r="GY89" s="22">
        <v>1</v>
      </c>
      <c r="GZ89" s="22">
        <v>1</v>
      </c>
      <c r="HA89" s="22">
        <v>1</v>
      </c>
      <c r="HB89" s="22">
        <v>1</v>
      </c>
      <c r="HC89" s="17"/>
      <c r="HD89" s="22">
        <v>1</v>
      </c>
      <c r="HE89" s="17"/>
      <c r="HF89" s="22">
        <v>1</v>
      </c>
      <c r="HG89" s="22">
        <v>1</v>
      </c>
      <c r="HH89" s="22">
        <v>1</v>
      </c>
      <c r="HI89" s="22">
        <v>1</v>
      </c>
      <c r="HJ89" s="22">
        <v>1</v>
      </c>
      <c r="HK89" s="22">
        <v>1</v>
      </c>
      <c r="HL89" s="22">
        <v>1</v>
      </c>
      <c r="HM89" s="22">
        <v>1</v>
      </c>
      <c r="HN89" s="17"/>
      <c r="HO89" s="22">
        <v>1</v>
      </c>
      <c r="HP89" s="22">
        <v>1</v>
      </c>
      <c r="HQ89" s="17"/>
      <c r="HR89" s="17"/>
      <c r="HS89" s="17"/>
      <c r="HT89" s="17"/>
      <c r="HU89" s="22">
        <v>1</v>
      </c>
      <c r="HV89" s="17"/>
      <c r="HW89" s="17"/>
      <c r="HX89" s="22">
        <v>1</v>
      </c>
      <c r="HY89" s="17"/>
      <c r="HZ89" s="22">
        <v>1</v>
      </c>
      <c r="IA89" s="22">
        <v>1</v>
      </c>
      <c r="IB89" s="17"/>
      <c r="IC89" s="17"/>
      <c r="ID89" s="17"/>
      <c r="IE89" s="17"/>
      <c r="IF89" s="17"/>
      <c r="IG89" s="17"/>
      <c r="IH89" s="22">
        <v>1</v>
      </c>
      <c r="II89" s="17"/>
      <c r="IJ89" s="17"/>
      <c r="IK89" s="17"/>
      <c r="IL89" s="17"/>
      <c r="IM89" s="17"/>
      <c r="IN89" s="17"/>
      <c r="IO89" s="17"/>
      <c r="IP89" s="17"/>
      <c r="IQ89" s="22">
        <v>1</v>
      </c>
      <c r="IR89" s="17"/>
      <c r="IS89" s="17"/>
      <c r="IT89" s="17"/>
      <c r="IU89" s="17"/>
      <c r="IV89" s="17"/>
      <c r="IW89" s="22">
        <v>1</v>
      </c>
      <c r="IX89" s="17"/>
      <c r="IY89" s="17"/>
      <c r="IZ89" s="17"/>
      <c r="JA89" s="22">
        <v>1</v>
      </c>
      <c r="JB89" s="17"/>
      <c r="JC89" s="17"/>
      <c r="JD89" s="17"/>
      <c r="JE89" s="22">
        <v>1</v>
      </c>
      <c r="JF89" s="17"/>
      <c r="JG89" s="17"/>
      <c r="JH89" s="17"/>
      <c r="JI89" s="22">
        <v>1</v>
      </c>
      <c r="JJ89" s="17"/>
      <c r="JK89" s="22">
        <v>1</v>
      </c>
      <c r="JL89" s="17"/>
      <c r="JM89" s="22">
        <v>1</v>
      </c>
      <c r="JN89" s="22">
        <v>1</v>
      </c>
      <c r="JO89" s="17"/>
      <c r="JP89" s="17"/>
      <c r="JQ89" s="22">
        <v>1</v>
      </c>
      <c r="JR89" s="22">
        <v>1</v>
      </c>
      <c r="JS89" s="17"/>
      <c r="JT89" s="17"/>
      <c r="JU89" s="17"/>
      <c r="JV89" s="17"/>
      <c r="JW89" s="17"/>
      <c r="JX89" s="22">
        <v>1</v>
      </c>
      <c r="JY89" s="22">
        <v>1</v>
      </c>
      <c r="JZ89" s="22">
        <v>1</v>
      </c>
      <c r="KA89" s="22">
        <v>1</v>
      </c>
      <c r="KB89" s="17"/>
      <c r="KC89" s="17"/>
      <c r="KD89" s="22">
        <v>1</v>
      </c>
      <c r="KE89" s="22">
        <v>1</v>
      </c>
      <c r="KF89" s="22">
        <v>1</v>
      </c>
      <c r="KG89" s="22">
        <v>1</v>
      </c>
      <c r="KH89" s="22">
        <v>1</v>
      </c>
      <c r="KI89" s="17"/>
      <c r="KJ89" s="22">
        <v>1</v>
      </c>
      <c r="KK89" s="17"/>
      <c r="KL89" s="22">
        <v>1</v>
      </c>
      <c r="KM89" s="17"/>
      <c r="KN89" s="17"/>
      <c r="KO89" s="17"/>
      <c r="KP89" s="22">
        <v>1</v>
      </c>
      <c r="KQ89" s="22">
        <v>1</v>
      </c>
      <c r="KR89" s="17"/>
      <c r="KS89" s="17"/>
      <c r="KT89" s="17"/>
      <c r="KU89" s="17"/>
      <c r="KV89" s="17"/>
      <c r="KW89" s="17"/>
      <c r="KX89" s="17"/>
      <c r="KY89" s="22">
        <v>1</v>
      </c>
      <c r="KZ89" s="22">
        <v>1</v>
      </c>
      <c r="LA89" s="22">
        <v>1</v>
      </c>
      <c r="LB89" s="17"/>
      <c r="LC89" s="22">
        <v>1</v>
      </c>
      <c r="LD89" s="17"/>
      <c r="LE89" s="17"/>
      <c r="LF89" s="17"/>
      <c r="LG89" s="17"/>
      <c r="LH89" s="17"/>
      <c r="LI89" s="17"/>
      <c r="LJ89" s="22">
        <v>1</v>
      </c>
      <c r="LK89" s="17"/>
      <c r="LL89" s="22">
        <v>1</v>
      </c>
      <c r="LM89" s="17"/>
      <c r="LN89" s="22">
        <v>1</v>
      </c>
      <c r="LO89" s="17"/>
      <c r="LP89" s="22">
        <v>1</v>
      </c>
      <c r="LQ89" s="17"/>
      <c r="LR89" s="17"/>
      <c r="LS89" s="17"/>
      <c r="LT89" s="17"/>
      <c r="LU89" s="17"/>
      <c r="LV89" s="17"/>
      <c r="LW89" s="17"/>
      <c r="LX89" s="17"/>
      <c r="LY89" s="17"/>
      <c r="LZ89" s="22">
        <v>1</v>
      </c>
      <c r="MA89" s="17"/>
      <c r="MB89" s="17"/>
      <c r="MC89" s="17"/>
      <c r="MD89" s="22">
        <v>1</v>
      </c>
      <c r="ME89" s="22">
        <v>1</v>
      </c>
      <c r="MF89" s="22">
        <v>1</v>
      </c>
      <c r="MG89" s="17"/>
      <c r="MH89" s="17"/>
      <c r="MI89" s="17"/>
      <c r="MJ89" s="22">
        <v>1</v>
      </c>
      <c r="MK89" s="17"/>
      <c r="ML89" s="22">
        <v>1</v>
      </c>
      <c r="MM89" s="17"/>
      <c r="MN89" s="22">
        <v>1</v>
      </c>
      <c r="MO89" s="17"/>
      <c r="MP89" s="22">
        <v>1</v>
      </c>
      <c r="MQ89" s="22">
        <v>1</v>
      </c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22">
        <v>1</v>
      </c>
      <c r="NC89" s="22">
        <v>1</v>
      </c>
      <c r="ND89" s="17"/>
      <c r="NE89" s="17"/>
      <c r="NF89" s="17"/>
      <c r="NG89" s="17"/>
      <c r="NH89" s="22">
        <v>1</v>
      </c>
      <c r="NI89" s="17"/>
      <c r="NJ89" s="17"/>
      <c r="NK89" s="17"/>
      <c r="NL89" s="17"/>
      <c r="NM89" s="22">
        <v>1</v>
      </c>
      <c r="NN89" s="17"/>
      <c r="NO89" s="17"/>
      <c r="NP89" s="17"/>
      <c r="NQ89" s="17"/>
      <c r="NR89" s="17"/>
      <c r="NS89" s="17"/>
      <c r="NT89" s="17"/>
      <c r="NU89" s="17"/>
      <c r="NV89" s="17"/>
      <c r="NW89" s="22">
        <v>1</v>
      </c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22">
        <v>1</v>
      </c>
      <c r="OL89" s="22">
        <v>1</v>
      </c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22">
        <v>1</v>
      </c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22" t="s">
        <v>506</v>
      </c>
      <c r="PX89" s="22" t="s">
        <v>506</v>
      </c>
      <c r="PY89" s="22" t="s">
        <v>506</v>
      </c>
      <c r="PZ89" s="22" t="s">
        <v>506</v>
      </c>
      <c r="QA89" s="22" t="s">
        <v>506</v>
      </c>
      <c r="QB89" s="22" t="s">
        <v>506</v>
      </c>
      <c r="QC89" s="22" t="s">
        <v>506</v>
      </c>
      <c r="QD89" s="22" t="s">
        <v>506</v>
      </c>
      <c r="QE89" s="22" t="s">
        <v>506</v>
      </c>
      <c r="QF89" s="22" t="s">
        <v>506</v>
      </c>
      <c r="QG89" s="22" t="s">
        <v>508</v>
      </c>
      <c r="QH89" s="22" t="s">
        <v>508</v>
      </c>
      <c r="QI89" s="22">
        <v>1</v>
      </c>
      <c r="QJ89" s="22">
        <v>0</v>
      </c>
      <c r="QK89" s="22">
        <v>0</v>
      </c>
      <c r="QL89" s="22">
        <v>1</v>
      </c>
      <c r="QM89" s="22">
        <v>1</v>
      </c>
      <c r="QN89" s="22">
        <v>1</v>
      </c>
      <c r="QO89" s="22">
        <v>1</v>
      </c>
      <c r="QP89" s="22">
        <v>1</v>
      </c>
      <c r="QQ89" s="22">
        <v>1</v>
      </c>
      <c r="QR89" s="22">
        <v>1</v>
      </c>
      <c r="QS89" s="22">
        <v>1</v>
      </c>
      <c r="QT89" s="22">
        <v>1</v>
      </c>
      <c r="QU89" s="22">
        <v>1</v>
      </c>
      <c r="QV89" s="22">
        <v>1</v>
      </c>
      <c r="QW89" s="22">
        <v>0</v>
      </c>
      <c r="QX89" s="22">
        <v>1</v>
      </c>
      <c r="QY89" s="22">
        <v>0</v>
      </c>
      <c r="QZ89" s="22">
        <v>1</v>
      </c>
      <c r="RA89" s="22">
        <v>1</v>
      </c>
      <c r="RB89" s="22">
        <v>1</v>
      </c>
      <c r="RC89" s="22">
        <v>1</v>
      </c>
      <c r="RD89" s="22">
        <v>1</v>
      </c>
      <c r="RE89" s="22">
        <v>1</v>
      </c>
      <c r="RF89" s="22">
        <v>1</v>
      </c>
      <c r="RG89" s="22">
        <v>1</v>
      </c>
      <c r="RH89" s="22">
        <v>1</v>
      </c>
      <c r="RI89" s="22">
        <v>0</v>
      </c>
      <c r="RJ89" s="22">
        <v>1</v>
      </c>
      <c r="RK89" s="22">
        <v>1</v>
      </c>
      <c r="RL89" s="22">
        <v>1</v>
      </c>
      <c r="RM89" s="22">
        <v>1</v>
      </c>
      <c r="RN89" s="22">
        <v>1</v>
      </c>
      <c r="RO89" s="22">
        <v>1</v>
      </c>
      <c r="RP89" s="22">
        <v>1</v>
      </c>
      <c r="RQ89" s="22">
        <v>1</v>
      </c>
      <c r="RR89" s="22">
        <v>1</v>
      </c>
      <c r="RS89" s="22">
        <v>1</v>
      </c>
      <c r="RT89" s="22">
        <v>1</v>
      </c>
      <c r="RU89" s="22">
        <v>1</v>
      </c>
      <c r="RV89" s="22">
        <v>0</v>
      </c>
      <c r="RW89" s="22">
        <v>1</v>
      </c>
      <c r="RX89" s="22">
        <v>1</v>
      </c>
      <c r="RY89" s="22">
        <v>0</v>
      </c>
      <c r="RZ89" s="22">
        <v>1</v>
      </c>
      <c r="SA89" s="22">
        <v>1</v>
      </c>
      <c r="SB89" s="22">
        <v>0</v>
      </c>
      <c r="SC89" s="22">
        <v>0</v>
      </c>
      <c r="SD89" s="22">
        <v>1</v>
      </c>
      <c r="SE89" s="22">
        <v>1</v>
      </c>
      <c r="SF89" s="22">
        <v>1</v>
      </c>
      <c r="SG89" s="22">
        <v>1</v>
      </c>
      <c r="SH89" s="22">
        <v>1</v>
      </c>
      <c r="SI89" s="22">
        <v>10091</v>
      </c>
      <c r="SJ89" s="19">
        <f t="shared" ref="SJ89:SJ121" si="7">COUNTIF(AQ89:PV89, "1")</f>
        <v>145</v>
      </c>
      <c r="SK89" s="19">
        <f t="shared" ref="SK89:SK121" si="8">SL89+SJ89</f>
        <v>148</v>
      </c>
      <c r="SL89" s="19">
        <f t="shared" ref="SL89:SL121" si="9">COUNTIF(AQ89:PV89, "2")</f>
        <v>3</v>
      </c>
      <c r="SM89" s="9">
        <v>10091</v>
      </c>
      <c r="SN89" s="9" t="s">
        <v>509</v>
      </c>
      <c r="SO89" s="10">
        <v>2</v>
      </c>
      <c r="SP89" s="9">
        <v>2</v>
      </c>
      <c r="SQ89" s="11" t="s">
        <v>517</v>
      </c>
      <c r="SR89" s="9">
        <v>17</v>
      </c>
      <c r="SS89" s="28">
        <v>63</v>
      </c>
      <c r="ST89" s="28">
        <v>16</v>
      </c>
      <c r="SU89" s="28">
        <v>90</v>
      </c>
      <c r="SV89" s="28">
        <v>13</v>
      </c>
      <c r="SW89" s="28">
        <v>2</v>
      </c>
      <c r="SX89" s="28">
        <v>7</v>
      </c>
      <c r="SY89" s="29">
        <v>47</v>
      </c>
      <c r="SZ89" s="30">
        <v>60</v>
      </c>
      <c r="TA89" s="31">
        <v>14</v>
      </c>
      <c r="TB89" s="31">
        <v>10</v>
      </c>
    </row>
    <row r="90" spans="1:522" ht="15.75" customHeight="1" x14ac:dyDescent="0.2">
      <c r="A90" s="22">
        <v>10092</v>
      </c>
      <c r="B90" s="22" t="s">
        <v>501</v>
      </c>
      <c r="C90" s="22" t="s">
        <v>502</v>
      </c>
      <c r="D90" s="22" t="s">
        <v>535</v>
      </c>
      <c r="E90" s="22" t="s">
        <v>504</v>
      </c>
      <c r="F90" s="23">
        <v>38940</v>
      </c>
      <c r="G90" s="23">
        <v>39491</v>
      </c>
      <c r="H90" s="14">
        <f t="shared" si="6"/>
        <v>18</v>
      </c>
      <c r="I90" s="22" t="s">
        <v>536</v>
      </c>
      <c r="J90" s="22">
        <v>1</v>
      </c>
      <c r="K90" s="22">
        <v>1</v>
      </c>
      <c r="L90" s="22">
        <v>1</v>
      </c>
      <c r="M90" s="22">
        <v>1</v>
      </c>
      <c r="N90" s="22">
        <v>1</v>
      </c>
      <c r="O90" s="17"/>
      <c r="P90" s="17"/>
      <c r="Q90" s="17"/>
      <c r="R90" s="22">
        <v>1</v>
      </c>
      <c r="S90" s="17"/>
      <c r="T90" s="22">
        <v>1</v>
      </c>
      <c r="U90" s="22">
        <v>1</v>
      </c>
      <c r="V90" s="17"/>
      <c r="W90" s="22">
        <v>1</v>
      </c>
      <c r="X90" s="17"/>
      <c r="Y90" s="17"/>
      <c r="Z90" s="22">
        <v>1</v>
      </c>
      <c r="AA90" s="22">
        <v>1</v>
      </c>
      <c r="AB90" s="17"/>
      <c r="AC90" s="22">
        <v>1</v>
      </c>
      <c r="AD90" s="17"/>
      <c r="AE90" s="22">
        <v>1</v>
      </c>
      <c r="AF90" s="17"/>
      <c r="AG90" s="22">
        <v>1</v>
      </c>
      <c r="AH90" s="22">
        <v>1</v>
      </c>
      <c r="AI90" s="22">
        <v>1</v>
      </c>
      <c r="AJ90" s="17"/>
      <c r="AK90" s="22">
        <v>1</v>
      </c>
      <c r="AL90" s="17"/>
      <c r="AM90" s="17"/>
      <c r="AN90" s="17"/>
      <c r="AO90" s="22" t="s">
        <v>508</v>
      </c>
      <c r="AP90" s="22" t="s">
        <v>508</v>
      </c>
      <c r="AQ90" s="22">
        <v>1</v>
      </c>
      <c r="AR90" s="17"/>
      <c r="AS90" s="17"/>
      <c r="AT90" s="17"/>
      <c r="AU90" s="22">
        <v>1</v>
      </c>
      <c r="AV90" s="22">
        <v>1</v>
      </c>
      <c r="AW90" s="17"/>
      <c r="AX90" s="22">
        <v>2</v>
      </c>
      <c r="AY90" s="17"/>
      <c r="AZ90" s="17"/>
      <c r="BA90" s="22">
        <v>2</v>
      </c>
      <c r="BB90" s="22">
        <v>1</v>
      </c>
      <c r="BC90" s="17"/>
      <c r="BD90" s="17"/>
      <c r="BE90" s="17"/>
      <c r="BF90" s="17"/>
      <c r="BG90" s="17"/>
      <c r="BH90" s="22">
        <v>1</v>
      </c>
      <c r="BI90" s="17"/>
      <c r="BJ90" s="22">
        <v>1</v>
      </c>
      <c r="BK90" s="17"/>
      <c r="BL90" s="22">
        <v>1</v>
      </c>
      <c r="BM90" s="17"/>
      <c r="BN90" s="22">
        <v>2</v>
      </c>
      <c r="BO90" s="17"/>
      <c r="BP90" s="22">
        <v>2</v>
      </c>
      <c r="BQ90" s="17"/>
      <c r="BR90" s="17"/>
      <c r="BS90" s="17"/>
      <c r="BT90" s="17"/>
      <c r="BU90" s="17"/>
      <c r="BV90" s="17"/>
      <c r="BW90" s="22">
        <v>1</v>
      </c>
      <c r="BX90" s="22">
        <v>1</v>
      </c>
      <c r="BY90" s="17"/>
      <c r="BZ90" s="17"/>
      <c r="CA90" s="17"/>
      <c r="CB90" s="22">
        <v>1</v>
      </c>
      <c r="CC90" s="17"/>
      <c r="CD90" s="22">
        <v>1</v>
      </c>
      <c r="CE90" s="17"/>
      <c r="CF90" s="17"/>
      <c r="CG90" s="22">
        <v>1</v>
      </c>
      <c r="CH90" s="17"/>
      <c r="CI90" s="17"/>
      <c r="CJ90" s="17"/>
      <c r="CK90" s="17"/>
      <c r="CL90" s="17"/>
      <c r="CM90" s="17"/>
      <c r="CN90" s="17"/>
      <c r="CO90" s="17"/>
      <c r="CP90" s="22">
        <v>1</v>
      </c>
      <c r="CQ90" s="17"/>
      <c r="CR90" s="17"/>
      <c r="CS90" s="17"/>
      <c r="CT90" s="17"/>
      <c r="CU90" s="17"/>
      <c r="CV90" s="22">
        <v>2</v>
      </c>
      <c r="CW90" s="17"/>
      <c r="CX90" s="17"/>
      <c r="CY90" s="22">
        <v>1</v>
      </c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22">
        <v>1</v>
      </c>
      <c r="DR90" s="22">
        <v>1</v>
      </c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22">
        <v>1</v>
      </c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22">
        <v>1</v>
      </c>
      <c r="FE90" s="22">
        <v>1</v>
      </c>
      <c r="FF90" s="17"/>
      <c r="FG90" s="17"/>
      <c r="FH90" s="17"/>
      <c r="FI90" s="17"/>
      <c r="FJ90" s="17"/>
      <c r="FK90" s="22">
        <v>1</v>
      </c>
      <c r="FL90" s="17"/>
      <c r="FM90" s="22">
        <v>1</v>
      </c>
      <c r="FN90" s="17"/>
      <c r="FO90" s="22">
        <v>1</v>
      </c>
      <c r="FP90" s="17"/>
      <c r="FQ90" s="17"/>
      <c r="FR90" s="22">
        <v>1</v>
      </c>
      <c r="FS90" s="17"/>
      <c r="FT90" s="22">
        <v>1</v>
      </c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22">
        <v>1</v>
      </c>
      <c r="HG90" s="17"/>
      <c r="HH90" s="17"/>
      <c r="HI90" s="17"/>
      <c r="HJ90" s="17"/>
      <c r="HK90" s="17"/>
      <c r="HL90" s="17"/>
      <c r="HM90" s="17"/>
      <c r="HN90" s="17"/>
      <c r="HO90" s="22">
        <v>1</v>
      </c>
      <c r="HP90" s="22">
        <v>1</v>
      </c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22">
        <v>1</v>
      </c>
      <c r="ID90" s="17"/>
      <c r="IE90" s="17"/>
      <c r="IF90" s="17"/>
      <c r="IG90" s="17"/>
      <c r="IH90" s="17"/>
      <c r="II90" s="17"/>
      <c r="IJ90" s="17"/>
      <c r="IK90" s="22">
        <v>1</v>
      </c>
      <c r="IL90" s="17"/>
      <c r="IM90" s="17"/>
      <c r="IN90" s="17"/>
      <c r="IO90" s="17"/>
      <c r="IP90" s="17"/>
      <c r="IQ90" s="17"/>
      <c r="IR90" s="17"/>
      <c r="IS90" s="17"/>
      <c r="IT90" s="22">
        <v>1</v>
      </c>
      <c r="IU90" s="17"/>
      <c r="IV90" s="17"/>
      <c r="IW90" s="17"/>
      <c r="IX90" s="17"/>
      <c r="IY90" s="22">
        <v>1</v>
      </c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22">
        <v>2</v>
      </c>
      <c r="JL90" s="17"/>
      <c r="JM90" s="22">
        <v>1</v>
      </c>
      <c r="JN90" s="22">
        <v>1</v>
      </c>
      <c r="JO90" s="17"/>
      <c r="JP90" s="17"/>
      <c r="JQ90" s="22">
        <v>2</v>
      </c>
      <c r="JR90" s="22">
        <v>1</v>
      </c>
      <c r="JS90" s="17"/>
      <c r="JT90" s="17"/>
      <c r="JU90" s="22">
        <v>1</v>
      </c>
      <c r="JV90" s="17"/>
      <c r="JW90" s="17"/>
      <c r="JX90" s="22">
        <v>1</v>
      </c>
      <c r="JY90" s="22">
        <v>1</v>
      </c>
      <c r="JZ90" s="22">
        <v>2</v>
      </c>
      <c r="KA90" s="17"/>
      <c r="KB90" s="17"/>
      <c r="KC90" s="17"/>
      <c r="KD90" s="22">
        <v>2</v>
      </c>
      <c r="KE90" s="22">
        <v>1</v>
      </c>
      <c r="KF90" s="17"/>
      <c r="KG90" s="22">
        <v>1</v>
      </c>
      <c r="KH90" s="22">
        <v>1</v>
      </c>
      <c r="KI90" s="17"/>
      <c r="KJ90" s="22">
        <v>1</v>
      </c>
      <c r="KK90" s="17"/>
      <c r="KL90" s="17"/>
      <c r="KM90" s="17"/>
      <c r="KN90" s="17"/>
      <c r="KO90" s="17"/>
      <c r="KP90" s="22">
        <v>1</v>
      </c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22">
        <v>1</v>
      </c>
      <c r="LD90" s="17"/>
      <c r="LE90" s="17"/>
      <c r="LF90" s="17"/>
      <c r="LG90" s="17"/>
      <c r="LH90" s="17"/>
      <c r="LI90" s="17"/>
      <c r="LJ90" s="17"/>
      <c r="LK90" s="17"/>
      <c r="LL90" s="22">
        <v>1</v>
      </c>
      <c r="LM90" s="17"/>
      <c r="LN90" s="17"/>
      <c r="LO90" s="17"/>
      <c r="LP90" s="22">
        <v>1</v>
      </c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22">
        <v>1</v>
      </c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22">
        <v>1</v>
      </c>
      <c r="NT90" s="17"/>
      <c r="NU90" s="17"/>
      <c r="NV90" s="22">
        <v>1</v>
      </c>
      <c r="NW90" s="22">
        <v>1</v>
      </c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22">
        <v>2</v>
      </c>
      <c r="PR90" s="17"/>
      <c r="PS90" s="17"/>
      <c r="PT90" s="17"/>
      <c r="PU90" s="17"/>
      <c r="PV90" s="17"/>
      <c r="PW90" s="22" t="s">
        <v>506</v>
      </c>
      <c r="PX90" s="22" t="s">
        <v>506</v>
      </c>
      <c r="PY90" s="22" t="s">
        <v>507</v>
      </c>
      <c r="PZ90" s="22" t="s">
        <v>506</v>
      </c>
      <c r="QA90" s="22" t="s">
        <v>506</v>
      </c>
      <c r="QB90" s="22" t="s">
        <v>506</v>
      </c>
      <c r="QC90" s="22" t="s">
        <v>506</v>
      </c>
      <c r="QD90" s="22" t="s">
        <v>508</v>
      </c>
      <c r="QE90" s="22" t="s">
        <v>507</v>
      </c>
      <c r="QF90" s="22" t="s">
        <v>506</v>
      </c>
      <c r="QG90" s="22" t="s">
        <v>508</v>
      </c>
      <c r="QH90" s="22" t="s">
        <v>508</v>
      </c>
      <c r="QI90" s="22">
        <v>1</v>
      </c>
      <c r="QJ90" s="22">
        <v>1</v>
      </c>
      <c r="QK90" s="22">
        <v>0</v>
      </c>
      <c r="QL90" s="22">
        <v>1</v>
      </c>
      <c r="QM90" s="22">
        <v>1</v>
      </c>
      <c r="QN90" s="22">
        <v>1</v>
      </c>
      <c r="QO90" s="22">
        <v>1</v>
      </c>
      <c r="QP90" s="22">
        <v>1</v>
      </c>
      <c r="QQ90" s="22">
        <v>1</v>
      </c>
      <c r="QR90" s="22">
        <v>1</v>
      </c>
      <c r="QS90" s="22">
        <v>0</v>
      </c>
      <c r="QT90" s="22">
        <v>1</v>
      </c>
      <c r="QU90" s="22">
        <v>1</v>
      </c>
      <c r="QV90" s="22">
        <v>1</v>
      </c>
      <c r="QW90" s="22">
        <v>1</v>
      </c>
      <c r="QX90" s="22">
        <v>0</v>
      </c>
      <c r="QY90" s="22">
        <v>0</v>
      </c>
      <c r="QZ90" s="22">
        <v>1</v>
      </c>
      <c r="RA90" s="22">
        <v>0</v>
      </c>
      <c r="RB90" s="22">
        <v>1</v>
      </c>
      <c r="RC90" s="22">
        <v>1</v>
      </c>
      <c r="RD90" s="22">
        <v>0</v>
      </c>
      <c r="RE90" s="22">
        <v>1</v>
      </c>
      <c r="RF90" s="22">
        <v>0</v>
      </c>
      <c r="RG90" s="22">
        <v>0</v>
      </c>
      <c r="RH90" s="22">
        <v>0</v>
      </c>
      <c r="RI90" s="22">
        <v>0</v>
      </c>
      <c r="RJ90" s="22">
        <v>0</v>
      </c>
      <c r="RK90" s="22">
        <v>0</v>
      </c>
      <c r="RL90" s="22">
        <v>0</v>
      </c>
      <c r="RM90" s="22">
        <v>0</v>
      </c>
      <c r="RN90" s="22">
        <v>0</v>
      </c>
      <c r="RO90" s="22">
        <v>0</v>
      </c>
      <c r="RP90" s="22">
        <v>0</v>
      </c>
      <c r="RQ90" s="22">
        <v>0</v>
      </c>
      <c r="RR90" s="22">
        <v>0</v>
      </c>
      <c r="RS90" s="22">
        <v>1</v>
      </c>
      <c r="RT90" s="22">
        <v>0</v>
      </c>
      <c r="RU90" s="22">
        <v>1</v>
      </c>
      <c r="RV90" s="22">
        <v>0</v>
      </c>
      <c r="RW90" s="22">
        <v>1</v>
      </c>
      <c r="RX90" s="22">
        <v>1</v>
      </c>
      <c r="RY90" s="22">
        <v>1</v>
      </c>
      <c r="RZ90" s="22">
        <v>0</v>
      </c>
      <c r="SA90" s="22">
        <v>1</v>
      </c>
      <c r="SB90" s="22">
        <v>1</v>
      </c>
      <c r="SC90" s="22">
        <v>0</v>
      </c>
      <c r="SD90" s="22">
        <v>1</v>
      </c>
      <c r="SE90" s="22">
        <v>0</v>
      </c>
      <c r="SF90" s="22">
        <v>0</v>
      </c>
      <c r="SG90" s="22">
        <v>1</v>
      </c>
      <c r="SH90" s="22">
        <v>0</v>
      </c>
      <c r="SI90" s="22">
        <v>10092</v>
      </c>
      <c r="SJ90" s="19">
        <f t="shared" si="7"/>
        <v>49</v>
      </c>
      <c r="SK90" s="19">
        <f t="shared" si="8"/>
        <v>59</v>
      </c>
      <c r="SL90" s="19">
        <f t="shared" si="9"/>
        <v>10</v>
      </c>
      <c r="SM90" s="9">
        <v>10092</v>
      </c>
      <c r="SN90" s="9" t="s">
        <v>504</v>
      </c>
      <c r="SO90" s="10">
        <v>2</v>
      </c>
      <c r="SP90" s="9">
        <v>2</v>
      </c>
      <c r="SQ90" s="11" t="s">
        <v>517</v>
      </c>
      <c r="SR90" s="9">
        <v>15</v>
      </c>
      <c r="SS90" s="28">
        <v>50</v>
      </c>
      <c r="ST90" s="28">
        <v>16</v>
      </c>
      <c r="SU90" s="28">
        <v>39</v>
      </c>
      <c r="SV90" s="28">
        <v>0</v>
      </c>
      <c r="SW90" s="28">
        <v>4</v>
      </c>
      <c r="SX90" s="28">
        <v>13</v>
      </c>
      <c r="SY90" s="29">
        <v>28</v>
      </c>
      <c r="SZ90" s="30">
        <v>12</v>
      </c>
      <c r="TA90" s="31">
        <v>14</v>
      </c>
      <c r="TB90" s="31">
        <v>12</v>
      </c>
    </row>
    <row r="91" spans="1:522" ht="15.75" customHeight="1" x14ac:dyDescent="0.2">
      <c r="A91" s="22">
        <v>10093</v>
      </c>
      <c r="B91" s="22" t="s">
        <v>501</v>
      </c>
      <c r="C91" s="22" t="s">
        <v>502</v>
      </c>
      <c r="D91" s="22" t="s">
        <v>535</v>
      </c>
      <c r="E91" s="22" t="s">
        <v>504</v>
      </c>
      <c r="F91" s="23">
        <v>39003</v>
      </c>
      <c r="G91" s="23">
        <v>39611</v>
      </c>
      <c r="H91" s="14">
        <f t="shared" si="6"/>
        <v>19</v>
      </c>
      <c r="I91" s="22" t="s">
        <v>537</v>
      </c>
      <c r="J91" s="22">
        <v>1</v>
      </c>
      <c r="K91" s="22">
        <v>1</v>
      </c>
      <c r="L91" s="22">
        <v>1</v>
      </c>
      <c r="M91" s="22">
        <v>1</v>
      </c>
      <c r="N91" s="22">
        <v>1</v>
      </c>
      <c r="O91" s="22">
        <v>1</v>
      </c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22">
        <v>1</v>
      </c>
      <c r="V91" s="22">
        <v>1</v>
      </c>
      <c r="W91" s="22">
        <v>1</v>
      </c>
      <c r="X91" s="22">
        <v>1</v>
      </c>
      <c r="Y91" s="22">
        <v>1</v>
      </c>
      <c r="Z91" s="22">
        <v>1</v>
      </c>
      <c r="AA91" s="22">
        <v>1</v>
      </c>
      <c r="AB91" s="22">
        <v>1</v>
      </c>
      <c r="AC91" s="22">
        <v>1</v>
      </c>
      <c r="AD91" s="22">
        <v>1</v>
      </c>
      <c r="AE91" s="22">
        <v>1</v>
      </c>
      <c r="AF91" s="22">
        <v>1</v>
      </c>
      <c r="AG91" s="22">
        <v>1</v>
      </c>
      <c r="AH91" s="22">
        <v>1</v>
      </c>
      <c r="AI91" s="17"/>
      <c r="AJ91" s="17"/>
      <c r="AK91" s="22">
        <v>1</v>
      </c>
      <c r="AL91" s="22">
        <v>1</v>
      </c>
      <c r="AM91" s="17"/>
      <c r="AN91" s="17"/>
      <c r="AO91" s="22" t="s">
        <v>508</v>
      </c>
      <c r="AP91" s="22" t="s">
        <v>508</v>
      </c>
      <c r="AQ91" s="17"/>
      <c r="AR91" s="22">
        <v>1</v>
      </c>
      <c r="AS91" s="17"/>
      <c r="AT91" s="17"/>
      <c r="AU91" s="22">
        <v>1</v>
      </c>
      <c r="AV91" s="22">
        <v>1</v>
      </c>
      <c r="AW91" s="17"/>
      <c r="AX91" s="22">
        <v>1</v>
      </c>
      <c r="AY91" s="22">
        <v>1</v>
      </c>
      <c r="AZ91" s="17"/>
      <c r="BA91" s="22">
        <v>1</v>
      </c>
      <c r="BB91" s="22">
        <v>1</v>
      </c>
      <c r="BC91" s="17"/>
      <c r="BD91" s="17"/>
      <c r="BE91" s="17"/>
      <c r="BF91" s="22">
        <v>1</v>
      </c>
      <c r="BG91" s="22">
        <v>1</v>
      </c>
      <c r="BH91" s="22">
        <v>1</v>
      </c>
      <c r="BI91" s="17"/>
      <c r="BJ91" s="22">
        <v>1</v>
      </c>
      <c r="BK91" s="22">
        <v>1</v>
      </c>
      <c r="BL91" s="22">
        <v>1</v>
      </c>
      <c r="BM91" s="17"/>
      <c r="BN91" s="22">
        <v>1</v>
      </c>
      <c r="BO91" s="17"/>
      <c r="BP91" s="22">
        <v>1</v>
      </c>
      <c r="BQ91" s="22">
        <v>1</v>
      </c>
      <c r="BR91" s="22">
        <v>1</v>
      </c>
      <c r="BS91" s="22">
        <v>1</v>
      </c>
      <c r="BT91" s="17"/>
      <c r="BU91" s="17"/>
      <c r="BV91" s="22">
        <v>1</v>
      </c>
      <c r="BW91" s="22">
        <v>1</v>
      </c>
      <c r="BX91" s="17"/>
      <c r="BY91" s="22">
        <v>1</v>
      </c>
      <c r="BZ91" s="22">
        <v>1</v>
      </c>
      <c r="CA91" s="17"/>
      <c r="CB91" s="17"/>
      <c r="CC91" s="22">
        <v>1</v>
      </c>
      <c r="CD91" s="22">
        <v>1</v>
      </c>
      <c r="CE91" s="22">
        <v>1</v>
      </c>
      <c r="CF91" s="22">
        <v>1</v>
      </c>
      <c r="CG91" s="17"/>
      <c r="CH91" s="17"/>
      <c r="CI91" s="22">
        <v>1</v>
      </c>
      <c r="CJ91" s="22">
        <v>1</v>
      </c>
      <c r="CK91" s="17"/>
      <c r="CL91" s="22">
        <v>1</v>
      </c>
      <c r="CM91" s="22">
        <v>1</v>
      </c>
      <c r="CN91" s="17"/>
      <c r="CO91" s="22">
        <v>1</v>
      </c>
      <c r="CP91" s="22">
        <v>1</v>
      </c>
      <c r="CQ91" s="22">
        <v>1</v>
      </c>
      <c r="CR91" s="22">
        <v>1</v>
      </c>
      <c r="CS91" s="22">
        <v>1</v>
      </c>
      <c r="CT91" s="22">
        <v>1</v>
      </c>
      <c r="CU91" s="22">
        <v>1</v>
      </c>
      <c r="CV91" s="22">
        <v>2</v>
      </c>
      <c r="CW91" s="22">
        <v>1</v>
      </c>
      <c r="CX91" s="22">
        <v>1</v>
      </c>
      <c r="CY91" s="22">
        <v>1</v>
      </c>
      <c r="CZ91" s="22">
        <v>1</v>
      </c>
      <c r="DA91" s="17"/>
      <c r="DB91" s="17"/>
      <c r="DC91" s="22">
        <v>1</v>
      </c>
      <c r="DD91" s="22">
        <v>1</v>
      </c>
      <c r="DE91" s="22">
        <v>1</v>
      </c>
      <c r="DF91" s="22">
        <v>1</v>
      </c>
      <c r="DG91" s="17"/>
      <c r="DH91" s="17"/>
      <c r="DI91" s="17"/>
      <c r="DJ91" s="22">
        <v>1</v>
      </c>
      <c r="DK91" s="17"/>
      <c r="DL91" s="22">
        <v>1</v>
      </c>
      <c r="DM91" s="22">
        <v>1</v>
      </c>
      <c r="DN91" s="22">
        <v>1</v>
      </c>
      <c r="DO91" s="17"/>
      <c r="DP91" s="22">
        <v>1</v>
      </c>
      <c r="DQ91" s="22">
        <v>1</v>
      </c>
      <c r="DR91" s="22">
        <v>1</v>
      </c>
      <c r="DS91" s="17"/>
      <c r="DT91" s="17"/>
      <c r="DU91" s="22">
        <v>1</v>
      </c>
      <c r="DV91" s="22">
        <v>1</v>
      </c>
      <c r="DW91" s="17"/>
      <c r="DX91" s="22">
        <v>1</v>
      </c>
      <c r="DY91" s="22">
        <v>1</v>
      </c>
      <c r="DZ91" s="17"/>
      <c r="EA91" s="17"/>
      <c r="EB91" s="22">
        <v>1</v>
      </c>
      <c r="EC91" s="17"/>
      <c r="ED91" s="17"/>
      <c r="EE91" s="17"/>
      <c r="EF91" s="17"/>
      <c r="EG91" s="22">
        <v>1</v>
      </c>
      <c r="EH91" s="17"/>
      <c r="EI91" s="22">
        <v>1</v>
      </c>
      <c r="EJ91" s="17"/>
      <c r="EK91" s="17"/>
      <c r="EL91" s="17"/>
      <c r="EM91" s="22">
        <v>1</v>
      </c>
      <c r="EN91" s="17"/>
      <c r="EO91" s="22">
        <v>1</v>
      </c>
      <c r="EP91" s="22">
        <v>1</v>
      </c>
      <c r="EQ91" s="17"/>
      <c r="ER91" s="17"/>
      <c r="ES91" s="22">
        <v>1</v>
      </c>
      <c r="ET91" s="17"/>
      <c r="EU91" s="17"/>
      <c r="EV91" s="22">
        <v>1</v>
      </c>
      <c r="EW91" s="17"/>
      <c r="EX91" s="22">
        <v>1</v>
      </c>
      <c r="EY91" s="17"/>
      <c r="EZ91" s="17"/>
      <c r="FA91" s="22">
        <v>1</v>
      </c>
      <c r="FB91" s="17"/>
      <c r="FC91" s="17"/>
      <c r="FD91" s="22">
        <v>1</v>
      </c>
      <c r="FE91" s="22">
        <v>1</v>
      </c>
      <c r="FF91" s="22">
        <v>1</v>
      </c>
      <c r="FG91" s="22">
        <v>1</v>
      </c>
      <c r="FH91" s="22">
        <v>1</v>
      </c>
      <c r="FI91" s="22">
        <v>1</v>
      </c>
      <c r="FJ91" s="22">
        <v>1</v>
      </c>
      <c r="FK91" s="17"/>
      <c r="FL91" s="17"/>
      <c r="FM91" s="17"/>
      <c r="FN91" s="22">
        <v>1</v>
      </c>
      <c r="FO91" s="22">
        <v>1</v>
      </c>
      <c r="FP91" s="22">
        <v>1</v>
      </c>
      <c r="FQ91" s="22">
        <v>1</v>
      </c>
      <c r="FR91" s="22">
        <v>1</v>
      </c>
      <c r="FS91" s="22">
        <v>1</v>
      </c>
      <c r="FT91" s="22">
        <v>1</v>
      </c>
      <c r="FU91" s="22">
        <v>1</v>
      </c>
      <c r="FV91" s="22">
        <v>1</v>
      </c>
      <c r="FW91" s="22">
        <v>1</v>
      </c>
      <c r="FX91" s="22">
        <v>1</v>
      </c>
      <c r="FY91" s="17"/>
      <c r="FZ91" s="17"/>
      <c r="GA91" s="17"/>
      <c r="GB91" s="22">
        <v>1</v>
      </c>
      <c r="GC91" s="22">
        <v>1</v>
      </c>
      <c r="GD91" s="17"/>
      <c r="GE91" s="22">
        <v>1</v>
      </c>
      <c r="GF91" s="22">
        <v>1</v>
      </c>
      <c r="GG91" s="22">
        <v>1</v>
      </c>
      <c r="GH91" s="17"/>
      <c r="GI91" s="22">
        <v>1</v>
      </c>
      <c r="GJ91" s="17"/>
      <c r="GK91" s="22">
        <v>1</v>
      </c>
      <c r="GL91" s="17"/>
      <c r="GM91" s="22">
        <v>1</v>
      </c>
      <c r="GN91" s="17"/>
      <c r="GO91" s="17"/>
      <c r="GP91" s="22">
        <v>1</v>
      </c>
      <c r="GQ91" s="22">
        <v>1</v>
      </c>
      <c r="GR91" s="17"/>
      <c r="GS91" s="17"/>
      <c r="GT91" s="17"/>
      <c r="GU91" s="22">
        <v>1</v>
      </c>
      <c r="GV91" s="17"/>
      <c r="GW91" s="17"/>
      <c r="GX91" s="17"/>
      <c r="GY91" s="22">
        <v>1</v>
      </c>
      <c r="GZ91" s="22">
        <v>1</v>
      </c>
      <c r="HA91" s="17"/>
      <c r="HB91" s="17"/>
      <c r="HC91" s="17"/>
      <c r="HD91" s="22">
        <v>1</v>
      </c>
      <c r="HE91" s="22">
        <v>1</v>
      </c>
      <c r="HF91" s="17"/>
      <c r="HG91" s="22">
        <v>1</v>
      </c>
      <c r="HH91" s="22">
        <v>1</v>
      </c>
      <c r="HI91" s="22">
        <v>1</v>
      </c>
      <c r="HJ91" s="17"/>
      <c r="HK91" s="17"/>
      <c r="HL91" s="22">
        <v>1</v>
      </c>
      <c r="HM91" s="22">
        <v>1</v>
      </c>
      <c r="HN91" s="17"/>
      <c r="HO91" s="22">
        <v>1</v>
      </c>
      <c r="HP91" s="22">
        <v>1</v>
      </c>
      <c r="HQ91" s="17"/>
      <c r="HR91" s="22">
        <v>1</v>
      </c>
      <c r="HS91" s="17"/>
      <c r="HT91" s="17"/>
      <c r="HU91" s="22">
        <v>1</v>
      </c>
      <c r="HV91" s="17"/>
      <c r="HW91" s="17"/>
      <c r="HX91" s="22">
        <v>1</v>
      </c>
      <c r="HY91" s="17"/>
      <c r="HZ91" s="22">
        <v>1</v>
      </c>
      <c r="IA91" s="22">
        <v>1</v>
      </c>
      <c r="IB91" s="22">
        <v>1</v>
      </c>
      <c r="IC91" s="17"/>
      <c r="ID91" s="22">
        <v>1</v>
      </c>
      <c r="IE91" s="17"/>
      <c r="IF91" s="22">
        <v>1</v>
      </c>
      <c r="IG91" s="17"/>
      <c r="IH91" s="22">
        <v>1</v>
      </c>
      <c r="II91" s="22">
        <v>1</v>
      </c>
      <c r="IJ91" s="22">
        <v>1</v>
      </c>
      <c r="IK91" s="22">
        <v>1</v>
      </c>
      <c r="IL91" s="22">
        <v>1</v>
      </c>
      <c r="IM91" s="17"/>
      <c r="IN91" s="17"/>
      <c r="IO91" s="17"/>
      <c r="IP91" s="17"/>
      <c r="IQ91" s="22">
        <v>1</v>
      </c>
      <c r="IR91" s="17"/>
      <c r="IS91" s="22">
        <v>1</v>
      </c>
      <c r="IT91" s="22">
        <v>1</v>
      </c>
      <c r="IU91" s="17"/>
      <c r="IV91" s="17"/>
      <c r="IW91" s="22">
        <v>1</v>
      </c>
      <c r="IX91" s="22">
        <v>1</v>
      </c>
      <c r="IY91" s="22">
        <v>1</v>
      </c>
      <c r="IZ91" s="22">
        <v>1</v>
      </c>
      <c r="JA91" s="22">
        <v>1</v>
      </c>
      <c r="JB91" s="22">
        <v>1</v>
      </c>
      <c r="JC91" s="17"/>
      <c r="JD91" s="17"/>
      <c r="JE91" s="22">
        <v>1</v>
      </c>
      <c r="JF91" s="22">
        <v>1</v>
      </c>
      <c r="JG91" s="22">
        <v>1</v>
      </c>
      <c r="JH91" s="22">
        <v>1</v>
      </c>
      <c r="JI91" s="17"/>
      <c r="JJ91" s="17"/>
      <c r="JK91" s="22">
        <v>1</v>
      </c>
      <c r="JL91" s="17"/>
      <c r="JM91" s="22">
        <v>1</v>
      </c>
      <c r="JN91" s="22">
        <v>1</v>
      </c>
      <c r="JO91" s="17"/>
      <c r="JP91" s="17"/>
      <c r="JQ91" s="17"/>
      <c r="JR91" s="22">
        <v>1</v>
      </c>
      <c r="JS91" s="17"/>
      <c r="JT91" s="22">
        <v>1</v>
      </c>
      <c r="JU91" s="22">
        <v>1</v>
      </c>
      <c r="JV91" s="22">
        <v>1</v>
      </c>
      <c r="JW91" s="17"/>
      <c r="JX91" s="22">
        <v>1</v>
      </c>
      <c r="JY91" s="22">
        <v>1</v>
      </c>
      <c r="JZ91" s="22">
        <v>1</v>
      </c>
      <c r="KA91" s="22">
        <v>1</v>
      </c>
      <c r="KB91" s="22">
        <v>1</v>
      </c>
      <c r="KC91" s="22">
        <v>1</v>
      </c>
      <c r="KD91" s="22">
        <v>1</v>
      </c>
      <c r="KE91" s="22">
        <v>1</v>
      </c>
      <c r="KF91" s="22">
        <v>1</v>
      </c>
      <c r="KG91" s="22">
        <v>1</v>
      </c>
      <c r="KH91" s="22">
        <v>1</v>
      </c>
      <c r="KI91" s="22">
        <v>1</v>
      </c>
      <c r="KJ91" s="17"/>
      <c r="KK91" s="22">
        <v>1</v>
      </c>
      <c r="KL91" s="17"/>
      <c r="KM91" s="22">
        <v>1</v>
      </c>
      <c r="KN91" s="22">
        <v>1</v>
      </c>
      <c r="KO91" s="22">
        <v>1</v>
      </c>
      <c r="KP91" s="22">
        <v>1</v>
      </c>
      <c r="KQ91" s="22">
        <v>1</v>
      </c>
      <c r="KR91" s="22">
        <v>1</v>
      </c>
      <c r="KS91" s="17"/>
      <c r="KT91" s="17"/>
      <c r="KU91" s="17"/>
      <c r="KV91" s="17"/>
      <c r="KW91" s="17"/>
      <c r="KX91" s="17"/>
      <c r="KY91" s="22">
        <v>1</v>
      </c>
      <c r="KZ91" s="17"/>
      <c r="LA91" s="22">
        <v>1</v>
      </c>
      <c r="LB91" s="17"/>
      <c r="LC91" s="22">
        <v>1</v>
      </c>
      <c r="LD91" s="17"/>
      <c r="LE91" s="17"/>
      <c r="LF91" s="17"/>
      <c r="LG91" s="17"/>
      <c r="LH91" s="22">
        <v>1</v>
      </c>
      <c r="LI91" s="22">
        <v>1</v>
      </c>
      <c r="LJ91" s="22">
        <v>1</v>
      </c>
      <c r="LK91" s="17"/>
      <c r="LL91" s="17"/>
      <c r="LM91" s="17"/>
      <c r="LN91" s="17"/>
      <c r="LO91" s="17"/>
      <c r="LP91" s="22">
        <v>1</v>
      </c>
      <c r="LQ91" s="17"/>
      <c r="LR91" s="22">
        <v>1</v>
      </c>
      <c r="LS91" s="17"/>
      <c r="LT91" s="22">
        <v>1</v>
      </c>
      <c r="LU91" s="17"/>
      <c r="LV91" s="17"/>
      <c r="LW91" s="17"/>
      <c r="LX91" s="22">
        <v>1</v>
      </c>
      <c r="LY91" s="17"/>
      <c r="LZ91" s="17"/>
      <c r="MA91" s="17"/>
      <c r="MB91" s="22">
        <v>1</v>
      </c>
      <c r="MC91" s="22">
        <v>1</v>
      </c>
      <c r="MD91" s="17"/>
      <c r="ME91" s="22">
        <v>1</v>
      </c>
      <c r="MF91" s="17"/>
      <c r="MG91" s="17"/>
      <c r="MH91" s="22">
        <v>1</v>
      </c>
      <c r="MI91" s="17"/>
      <c r="MJ91" s="17"/>
      <c r="MK91" s="17"/>
      <c r="ML91" s="17"/>
      <c r="MM91" s="22">
        <v>1</v>
      </c>
      <c r="MN91" s="22">
        <v>1</v>
      </c>
      <c r="MO91" s="22">
        <v>1</v>
      </c>
      <c r="MP91" s="22">
        <v>1</v>
      </c>
      <c r="MQ91" s="22">
        <v>1</v>
      </c>
      <c r="MR91" s="22">
        <v>1</v>
      </c>
      <c r="MS91" s="17"/>
      <c r="MT91" s="17"/>
      <c r="MU91" s="22">
        <v>1</v>
      </c>
      <c r="MV91" s="22">
        <v>1</v>
      </c>
      <c r="MW91" s="22">
        <v>1</v>
      </c>
      <c r="MX91" s="22">
        <v>1</v>
      </c>
      <c r="MY91" s="22">
        <v>1</v>
      </c>
      <c r="MZ91" s="17"/>
      <c r="NA91" s="17"/>
      <c r="NB91" s="22">
        <v>1</v>
      </c>
      <c r="NC91" s="17"/>
      <c r="ND91" s="22">
        <v>1</v>
      </c>
      <c r="NE91" s="17"/>
      <c r="NF91" s="22">
        <v>1</v>
      </c>
      <c r="NG91" s="17"/>
      <c r="NH91" s="17"/>
      <c r="NI91" s="17"/>
      <c r="NJ91" s="17"/>
      <c r="NK91" s="17"/>
      <c r="NL91" s="17"/>
      <c r="NM91" s="17"/>
      <c r="NN91" s="17"/>
      <c r="NO91" s="22">
        <v>1</v>
      </c>
      <c r="NP91" s="17"/>
      <c r="NQ91" s="17"/>
      <c r="NR91" s="22">
        <v>1</v>
      </c>
      <c r="NS91" s="22">
        <v>1</v>
      </c>
      <c r="NT91" s="17"/>
      <c r="NU91" s="17"/>
      <c r="NV91" s="17"/>
      <c r="NW91" s="17"/>
      <c r="NX91" s="17"/>
      <c r="NY91" s="22">
        <v>1</v>
      </c>
      <c r="NZ91" s="17"/>
      <c r="OA91" s="22">
        <v>1</v>
      </c>
      <c r="OB91" s="22">
        <v>1</v>
      </c>
      <c r="OC91" s="17"/>
      <c r="OD91" s="22">
        <v>1</v>
      </c>
      <c r="OE91" s="17"/>
      <c r="OF91" s="17"/>
      <c r="OG91" s="22">
        <v>1</v>
      </c>
      <c r="OH91" s="17"/>
      <c r="OI91" s="22">
        <v>1</v>
      </c>
      <c r="OJ91" s="22">
        <v>1</v>
      </c>
      <c r="OK91" s="22">
        <v>1</v>
      </c>
      <c r="OL91" s="22">
        <v>1</v>
      </c>
      <c r="OM91" s="22">
        <v>1</v>
      </c>
      <c r="ON91" s="22">
        <v>1</v>
      </c>
      <c r="OO91" s="22">
        <v>1</v>
      </c>
      <c r="OP91" s="17"/>
      <c r="OQ91" s="22">
        <v>1</v>
      </c>
      <c r="OR91" s="17"/>
      <c r="OS91" s="22">
        <v>1</v>
      </c>
      <c r="OT91" s="22">
        <v>1</v>
      </c>
      <c r="OU91" s="22">
        <v>1</v>
      </c>
      <c r="OV91" s="17"/>
      <c r="OW91" s="17"/>
      <c r="OX91" s="22">
        <v>1</v>
      </c>
      <c r="OY91" s="22">
        <v>1</v>
      </c>
      <c r="OZ91" s="22">
        <v>1</v>
      </c>
      <c r="PA91" s="17"/>
      <c r="PB91" s="22">
        <v>1</v>
      </c>
      <c r="PC91" s="17"/>
      <c r="PD91" s="22">
        <v>1</v>
      </c>
      <c r="PE91" s="17"/>
      <c r="PF91" s="17"/>
      <c r="PG91" s="22">
        <v>1</v>
      </c>
      <c r="PH91" s="17"/>
      <c r="PI91" s="17"/>
      <c r="PJ91" s="22">
        <v>1</v>
      </c>
      <c r="PK91" s="17"/>
      <c r="PL91" s="22">
        <v>1</v>
      </c>
      <c r="PM91" s="17"/>
      <c r="PN91" s="17"/>
      <c r="PO91" s="22">
        <v>1</v>
      </c>
      <c r="PP91" s="17"/>
      <c r="PQ91" s="22">
        <v>1</v>
      </c>
      <c r="PR91" s="22">
        <v>1</v>
      </c>
      <c r="PS91" s="17"/>
      <c r="PT91" s="17"/>
      <c r="PU91" s="22">
        <v>1</v>
      </c>
      <c r="PV91" s="17"/>
      <c r="PW91" s="17"/>
      <c r="PX91" s="22" t="s">
        <v>506</v>
      </c>
      <c r="PY91" s="22" t="s">
        <v>506</v>
      </c>
      <c r="PZ91" s="22" t="s">
        <v>506</v>
      </c>
      <c r="QA91" s="22" t="s">
        <v>506</v>
      </c>
      <c r="QB91" s="22" t="s">
        <v>506</v>
      </c>
      <c r="QC91" s="22" t="s">
        <v>506</v>
      </c>
      <c r="QD91" s="22" t="s">
        <v>508</v>
      </c>
      <c r="QE91" s="22" t="s">
        <v>506</v>
      </c>
      <c r="QF91" s="22" t="s">
        <v>507</v>
      </c>
      <c r="QG91" s="22" t="s">
        <v>507</v>
      </c>
      <c r="QH91" s="22" t="s">
        <v>508</v>
      </c>
      <c r="QI91" s="22">
        <v>1</v>
      </c>
      <c r="QJ91" s="22">
        <v>0</v>
      </c>
      <c r="QK91" s="22">
        <v>0</v>
      </c>
      <c r="QL91" s="22">
        <v>1</v>
      </c>
      <c r="QM91" s="22">
        <v>0</v>
      </c>
      <c r="QN91" s="22">
        <v>1</v>
      </c>
      <c r="QO91" s="22">
        <v>1</v>
      </c>
      <c r="QP91" s="22">
        <v>0</v>
      </c>
      <c r="QQ91" s="22">
        <v>0</v>
      </c>
      <c r="QR91" s="22">
        <v>1</v>
      </c>
      <c r="QS91" s="22">
        <v>0</v>
      </c>
      <c r="QT91" s="22">
        <v>1</v>
      </c>
      <c r="QU91" s="22">
        <v>0</v>
      </c>
      <c r="QV91" s="22">
        <v>1</v>
      </c>
      <c r="QW91" s="22">
        <v>1</v>
      </c>
      <c r="QX91" s="22">
        <v>0</v>
      </c>
      <c r="QY91" s="22">
        <v>1</v>
      </c>
      <c r="QZ91" s="22">
        <v>1</v>
      </c>
      <c r="RA91" s="22">
        <v>1</v>
      </c>
      <c r="RB91" s="22">
        <v>1</v>
      </c>
      <c r="RC91" s="22">
        <v>1</v>
      </c>
      <c r="RD91" s="22">
        <v>0</v>
      </c>
      <c r="RE91" s="22">
        <v>1</v>
      </c>
      <c r="RF91" s="22">
        <v>0</v>
      </c>
      <c r="RG91" s="22">
        <v>0</v>
      </c>
      <c r="RH91" s="22">
        <v>1</v>
      </c>
      <c r="RI91" s="22">
        <v>1</v>
      </c>
      <c r="RJ91" s="22">
        <v>0</v>
      </c>
      <c r="RK91" s="22">
        <v>0</v>
      </c>
      <c r="RL91" s="22">
        <v>0</v>
      </c>
      <c r="RM91" s="22">
        <v>0</v>
      </c>
      <c r="RN91" s="22">
        <v>1</v>
      </c>
      <c r="RO91" s="22">
        <v>1</v>
      </c>
      <c r="RP91" s="22">
        <v>1</v>
      </c>
      <c r="RQ91" s="22">
        <v>1</v>
      </c>
      <c r="RR91" s="22">
        <v>0</v>
      </c>
      <c r="RS91" s="22">
        <v>1</v>
      </c>
      <c r="RT91" s="22">
        <v>1</v>
      </c>
      <c r="RU91" s="22">
        <v>1</v>
      </c>
      <c r="RV91" s="22">
        <v>0</v>
      </c>
      <c r="RW91" s="22">
        <v>1</v>
      </c>
      <c r="RX91" s="22">
        <v>1</v>
      </c>
      <c r="RY91" s="22">
        <v>1</v>
      </c>
      <c r="RZ91" s="22">
        <v>1</v>
      </c>
      <c r="SA91" s="22">
        <v>1</v>
      </c>
      <c r="SB91" s="22">
        <v>1</v>
      </c>
      <c r="SC91" s="22">
        <v>0</v>
      </c>
      <c r="SD91" s="22">
        <v>0</v>
      </c>
      <c r="SE91" s="22">
        <v>1</v>
      </c>
      <c r="SF91" s="22">
        <v>1</v>
      </c>
      <c r="SG91" s="22">
        <v>1</v>
      </c>
      <c r="SH91" s="22">
        <v>0</v>
      </c>
      <c r="SI91" s="22">
        <v>10093</v>
      </c>
      <c r="SJ91" s="19">
        <f t="shared" si="7"/>
        <v>217</v>
      </c>
      <c r="SK91" s="19">
        <f t="shared" si="8"/>
        <v>218</v>
      </c>
      <c r="SL91" s="19">
        <f t="shared" si="9"/>
        <v>1</v>
      </c>
      <c r="SM91" s="9">
        <v>10093</v>
      </c>
      <c r="SN91" s="9" t="s">
        <v>504</v>
      </c>
      <c r="SO91" s="10">
        <v>1</v>
      </c>
      <c r="SP91" s="9">
        <v>1</v>
      </c>
      <c r="SQ91" s="11" t="s">
        <v>504</v>
      </c>
      <c r="SR91" s="9">
        <v>15</v>
      </c>
      <c r="SS91" s="28">
        <v>51.5</v>
      </c>
      <c r="ST91" s="28">
        <v>18</v>
      </c>
      <c r="SU91" s="28">
        <v>142</v>
      </c>
      <c r="SV91" s="28">
        <v>14</v>
      </c>
      <c r="SW91" s="28">
        <v>3</v>
      </c>
      <c r="SX91" s="28">
        <v>5</v>
      </c>
      <c r="SY91" s="29">
        <v>32</v>
      </c>
      <c r="SZ91" s="30">
        <v>5</v>
      </c>
      <c r="TA91" s="31">
        <v>19</v>
      </c>
      <c r="TB91" s="31">
        <v>13</v>
      </c>
    </row>
    <row r="92" spans="1:522" ht="15.75" customHeight="1" x14ac:dyDescent="0.2">
      <c r="A92" s="22">
        <v>10094</v>
      </c>
      <c r="B92" s="22" t="s">
        <v>501</v>
      </c>
      <c r="C92" s="22" t="s">
        <v>502</v>
      </c>
      <c r="D92" s="22" t="s">
        <v>535</v>
      </c>
      <c r="E92" s="22" t="s">
        <v>504</v>
      </c>
      <c r="F92" s="23">
        <v>39038</v>
      </c>
      <c r="G92" s="23">
        <v>39588</v>
      </c>
      <c r="H92" s="14">
        <f t="shared" si="6"/>
        <v>18</v>
      </c>
      <c r="I92" s="22" t="s">
        <v>536</v>
      </c>
      <c r="J92" s="22">
        <v>1</v>
      </c>
      <c r="K92" s="22">
        <v>1</v>
      </c>
      <c r="L92" s="22">
        <v>1</v>
      </c>
      <c r="M92" s="17"/>
      <c r="N92" s="22">
        <v>1</v>
      </c>
      <c r="O92" s="17"/>
      <c r="P92" s="22">
        <v>1</v>
      </c>
      <c r="Q92" s="22">
        <v>1</v>
      </c>
      <c r="R92" s="22">
        <v>1</v>
      </c>
      <c r="S92" s="22">
        <v>1</v>
      </c>
      <c r="T92" s="22">
        <v>1</v>
      </c>
      <c r="U92" s="17"/>
      <c r="V92" s="22">
        <v>1</v>
      </c>
      <c r="W92" s="22">
        <v>1</v>
      </c>
      <c r="X92" s="22">
        <v>1</v>
      </c>
      <c r="Y92" s="22">
        <v>1</v>
      </c>
      <c r="Z92" s="22">
        <v>1</v>
      </c>
      <c r="AA92" s="22">
        <v>1</v>
      </c>
      <c r="AB92" s="22">
        <v>1</v>
      </c>
      <c r="AC92" s="22">
        <v>1</v>
      </c>
      <c r="AD92" s="17"/>
      <c r="AE92" s="22">
        <v>1</v>
      </c>
      <c r="AF92" s="22">
        <v>1</v>
      </c>
      <c r="AG92" s="22">
        <v>1</v>
      </c>
      <c r="AH92" s="22">
        <v>1</v>
      </c>
      <c r="AI92" s="22">
        <v>1</v>
      </c>
      <c r="AJ92" s="17"/>
      <c r="AK92" s="22">
        <v>1</v>
      </c>
      <c r="AL92" s="17"/>
      <c r="AM92" s="17"/>
      <c r="AN92" s="17"/>
      <c r="AO92" s="22" t="s">
        <v>507</v>
      </c>
      <c r="AP92" s="22" t="s">
        <v>508</v>
      </c>
      <c r="AQ92" s="17"/>
      <c r="AR92" s="22">
        <v>1</v>
      </c>
      <c r="AS92" s="17"/>
      <c r="AT92" s="17"/>
      <c r="AU92" s="17"/>
      <c r="AV92" s="17"/>
      <c r="AW92" s="22">
        <v>1</v>
      </c>
      <c r="AX92" s="17"/>
      <c r="AY92" s="22">
        <v>1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22">
        <v>1</v>
      </c>
      <c r="CQ92" s="17"/>
      <c r="CR92" s="17"/>
      <c r="CS92" s="22">
        <v>1</v>
      </c>
      <c r="CT92" s="22">
        <v>1</v>
      </c>
      <c r="CU92" s="17"/>
      <c r="CV92" s="22">
        <v>2</v>
      </c>
      <c r="CW92" s="22">
        <v>1</v>
      </c>
      <c r="CX92" s="22">
        <v>1</v>
      </c>
      <c r="CY92" s="22">
        <v>1</v>
      </c>
      <c r="CZ92" s="17"/>
      <c r="DA92" s="17"/>
      <c r="DB92" s="22">
        <v>1</v>
      </c>
      <c r="DC92" s="22">
        <v>1</v>
      </c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22">
        <v>1</v>
      </c>
      <c r="DX92" s="17"/>
      <c r="DY92" s="17"/>
      <c r="DZ92" s="17"/>
      <c r="EA92" s="17"/>
      <c r="EB92" s="17"/>
      <c r="EC92" s="17"/>
      <c r="ED92" s="17"/>
      <c r="EE92" s="17"/>
      <c r="EF92" s="17"/>
      <c r="EG92" s="22">
        <v>1</v>
      </c>
      <c r="EH92" s="17"/>
      <c r="EI92" s="17"/>
      <c r="EJ92" s="17"/>
      <c r="EK92" s="17"/>
      <c r="EL92" s="17"/>
      <c r="EM92" s="22">
        <v>1</v>
      </c>
      <c r="EN92" s="17"/>
      <c r="EO92" s="22">
        <v>1</v>
      </c>
      <c r="EP92" s="17"/>
      <c r="EQ92" s="22">
        <v>1</v>
      </c>
      <c r="ER92" s="17"/>
      <c r="ES92" s="22">
        <v>1</v>
      </c>
      <c r="ET92" s="22">
        <v>1</v>
      </c>
      <c r="EU92" s="22">
        <v>1</v>
      </c>
      <c r="EV92" s="22">
        <v>1</v>
      </c>
      <c r="EW92" s="17"/>
      <c r="EX92" s="22">
        <v>1</v>
      </c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22">
        <v>1</v>
      </c>
      <c r="FW92" s="17"/>
      <c r="FX92" s="17"/>
      <c r="FY92" s="22">
        <v>1</v>
      </c>
      <c r="FZ92" s="22">
        <v>1</v>
      </c>
      <c r="GA92" s="17"/>
      <c r="GB92" s="22">
        <v>1</v>
      </c>
      <c r="GC92" s="22">
        <v>1</v>
      </c>
      <c r="GD92" s="17"/>
      <c r="GE92" s="22">
        <v>1</v>
      </c>
      <c r="GF92" s="17"/>
      <c r="GG92" s="17"/>
      <c r="GH92" s="17"/>
      <c r="GI92" s="22">
        <v>1</v>
      </c>
      <c r="GJ92" s="17"/>
      <c r="GK92" s="22">
        <v>1</v>
      </c>
      <c r="GL92" s="17"/>
      <c r="GM92" s="17"/>
      <c r="GN92" s="22">
        <v>1</v>
      </c>
      <c r="GO92" s="17"/>
      <c r="GP92" s="17"/>
      <c r="GQ92" s="22">
        <v>1</v>
      </c>
      <c r="GR92" s="17"/>
      <c r="GS92" s="17"/>
      <c r="GT92" s="17"/>
      <c r="GU92" s="17"/>
      <c r="GV92" s="17"/>
      <c r="GW92" s="17"/>
      <c r="GX92" s="17"/>
      <c r="GY92" s="22">
        <v>1</v>
      </c>
      <c r="GZ92" s="22">
        <v>1</v>
      </c>
      <c r="HA92" s="17"/>
      <c r="HB92" s="22">
        <v>1</v>
      </c>
      <c r="HC92" s="22">
        <v>1</v>
      </c>
      <c r="HD92" s="17"/>
      <c r="HE92" s="17"/>
      <c r="HF92" s="22">
        <v>1</v>
      </c>
      <c r="HG92" s="22">
        <v>1</v>
      </c>
      <c r="HH92" s="17"/>
      <c r="HI92" s="22">
        <v>1</v>
      </c>
      <c r="HJ92" s="17"/>
      <c r="HK92" s="17"/>
      <c r="HL92" s="22">
        <v>1</v>
      </c>
      <c r="HM92" s="17"/>
      <c r="HN92" s="17"/>
      <c r="HO92" s="17"/>
      <c r="HP92" s="17"/>
      <c r="HQ92" s="17"/>
      <c r="HR92" s="22">
        <v>1</v>
      </c>
      <c r="HS92" s="17"/>
      <c r="HT92" s="22">
        <v>1</v>
      </c>
      <c r="HU92" s="17"/>
      <c r="HV92" s="17"/>
      <c r="HW92" s="17"/>
      <c r="HX92" s="17"/>
      <c r="HY92" s="17"/>
      <c r="HZ92" s="17"/>
      <c r="IA92" s="22">
        <v>1</v>
      </c>
      <c r="IB92" s="17"/>
      <c r="IC92" s="17"/>
      <c r="ID92" s="17"/>
      <c r="IE92" s="17"/>
      <c r="IF92" s="17"/>
      <c r="IG92" s="17"/>
      <c r="IH92" s="22">
        <v>1</v>
      </c>
      <c r="II92" s="17"/>
      <c r="IJ92" s="17"/>
      <c r="IK92" s="22">
        <v>1</v>
      </c>
      <c r="IL92" s="22">
        <v>1</v>
      </c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22">
        <v>1</v>
      </c>
      <c r="JB92" s="17"/>
      <c r="JC92" s="17"/>
      <c r="JD92" s="22">
        <v>1</v>
      </c>
      <c r="JE92" s="17"/>
      <c r="JF92" s="17"/>
      <c r="JG92" s="17"/>
      <c r="JH92" s="17"/>
      <c r="JI92" s="22">
        <v>1</v>
      </c>
      <c r="JJ92" s="17"/>
      <c r="JK92" s="22">
        <v>1</v>
      </c>
      <c r="JL92" s="17"/>
      <c r="JM92" s="22">
        <v>1</v>
      </c>
      <c r="JN92" s="17"/>
      <c r="JO92" s="17"/>
      <c r="JP92" s="17"/>
      <c r="JQ92" s="22">
        <v>1</v>
      </c>
      <c r="JR92" s="22">
        <v>1</v>
      </c>
      <c r="JS92" s="22">
        <v>1</v>
      </c>
      <c r="JT92" s="22">
        <v>1</v>
      </c>
      <c r="JU92" s="22">
        <v>1</v>
      </c>
      <c r="JV92" s="17"/>
      <c r="JW92" s="22">
        <v>1</v>
      </c>
      <c r="JX92" s="22">
        <v>1</v>
      </c>
      <c r="JY92" s="17"/>
      <c r="JZ92" s="22">
        <v>2</v>
      </c>
      <c r="KA92" s="17"/>
      <c r="KB92" s="17"/>
      <c r="KC92" s="22">
        <v>2</v>
      </c>
      <c r="KD92" s="17"/>
      <c r="KE92" s="17"/>
      <c r="KF92" s="22">
        <v>1</v>
      </c>
      <c r="KG92" s="22">
        <v>1</v>
      </c>
      <c r="KH92" s="22">
        <v>1</v>
      </c>
      <c r="KI92" s="22">
        <v>1</v>
      </c>
      <c r="KJ92" s="22">
        <v>1</v>
      </c>
      <c r="KK92" s="17"/>
      <c r="KL92" s="17"/>
      <c r="KM92" s="17"/>
      <c r="KN92" s="17"/>
      <c r="KO92" s="22">
        <v>1</v>
      </c>
      <c r="KP92" s="17"/>
      <c r="KQ92" s="22">
        <v>1</v>
      </c>
      <c r="KR92" s="17"/>
      <c r="KS92" s="17"/>
      <c r="KT92" s="22">
        <v>1</v>
      </c>
      <c r="KU92" s="17"/>
      <c r="KV92" s="17"/>
      <c r="KW92" s="22">
        <v>1</v>
      </c>
      <c r="KX92" s="17"/>
      <c r="KY92" s="22">
        <v>1</v>
      </c>
      <c r="KZ92" s="22">
        <v>1</v>
      </c>
      <c r="LA92" s="22">
        <v>1</v>
      </c>
      <c r="LB92" s="22">
        <v>1</v>
      </c>
      <c r="LC92" s="22">
        <v>1</v>
      </c>
      <c r="LD92" s="17"/>
      <c r="LE92" s="22">
        <v>1</v>
      </c>
      <c r="LF92" s="17"/>
      <c r="LG92" s="22">
        <v>1</v>
      </c>
      <c r="LH92" s="22">
        <v>1</v>
      </c>
      <c r="LI92" s="22">
        <v>1</v>
      </c>
      <c r="LJ92" s="17"/>
      <c r="LK92" s="17"/>
      <c r="LL92" s="22">
        <v>1</v>
      </c>
      <c r="LM92" s="17"/>
      <c r="LN92" s="22">
        <v>1</v>
      </c>
      <c r="LO92" s="22">
        <v>1</v>
      </c>
      <c r="LP92" s="22">
        <v>1</v>
      </c>
      <c r="LQ92" s="22">
        <v>1</v>
      </c>
      <c r="LR92" s="17"/>
      <c r="LS92" s="22">
        <v>1</v>
      </c>
      <c r="LT92" s="17"/>
      <c r="LU92" s="17"/>
      <c r="LV92" s="17"/>
      <c r="LW92" s="17"/>
      <c r="LX92" s="22">
        <v>1</v>
      </c>
      <c r="LY92" s="17"/>
      <c r="LZ92" s="22">
        <v>1</v>
      </c>
      <c r="MA92" s="17"/>
      <c r="MB92" s="22">
        <v>1</v>
      </c>
      <c r="MC92" s="22">
        <v>1</v>
      </c>
      <c r="MD92" s="17"/>
      <c r="ME92" s="22">
        <v>1</v>
      </c>
      <c r="MF92" s="17"/>
      <c r="MG92" s="17"/>
      <c r="MH92" s="22">
        <v>1</v>
      </c>
      <c r="MI92" s="17"/>
      <c r="MJ92" s="17"/>
      <c r="MK92" s="17"/>
      <c r="ML92" s="22">
        <v>1</v>
      </c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22">
        <v>1</v>
      </c>
      <c r="NC92" s="22">
        <v>1</v>
      </c>
      <c r="ND92" s="17"/>
      <c r="NE92" s="17"/>
      <c r="NF92" s="17"/>
      <c r="NG92" s="17"/>
      <c r="NH92" s="17"/>
      <c r="NI92" s="22">
        <v>1</v>
      </c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22">
        <v>1</v>
      </c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22">
        <v>1</v>
      </c>
      <c r="OH92" s="17"/>
      <c r="OI92" s="17"/>
      <c r="OJ92" s="17"/>
      <c r="OK92" s="17"/>
      <c r="OL92" s="17"/>
      <c r="OM92" s="17"/>
      <c r="ON92" s="17"/>
      <c r="OO92" s="17"/>
      <c r="OP92" s="22">
        <v>1</v>
      </c>
      <c r="OQ92" s="22">
        <v>1</v>
      </c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22">
        <v>1</v>
      </c>
      <c r="PI92" s="22">
        <v>1</v>
      </c>
      <c r="PJ92" s="22">
        <v>1</v>
      </c>
      <c r="PK92" s="22">
        <v>1</v>
      </c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22" t="s">
        <v>507</v>
      </c>
      <c r="PX92" s="22" t="s">
        <v>507</v>
      </c>
      <c r="PY92" s="22" t="s">
        <v>506</v>
      </c>
      <c r="PZ92" s="22" t="s">
        <v>507</v>
      </c>
      <c r="QA92" s="22" t="s">
        <v>507</v>
      </c>
      <c r="QB92" s="22" t="s">
        <v>507</v>
      </c>
      <c r="QC92" s="22" t="s">
        <v>508</v>
      </c>
      <c r="QD92" s="22" t="s">
        <v>508</v>
      </c>
      <c r="QE92" s="22" t="s">
        <v>507</v>
      </c>
      <c r="QF92" s="22" t="s">
        <v>508</v>
      </c>
      <c r="QG92" s="22" t="s">
        <v>507</v>
      </c>
      <c r="QH92" s="22" t="s">
        <v>507</v>
      </c>
      <c r="QI92" s="22">
        <v>1</v>
      </c>
      <c r="QJ92" s="22">
        <v>1</v>
      </c>
      <c r="QK92" s="22">
        <v>0</v>
      </c>
      <c r="QL92" s="22">
        <v>1</v>
      </c>
      <c r="QM92" s="22">
        <v>0</v>
      </c>
      <c r="QN92" s="22">
        <v>1</v>
      </c>
      <c r="QO92" s="22">
        <v>0</v>
      </c>
      <c r="QP92" s="22">
        <v>1</v>
      </c>
      <c r="QQ92" s="22">
        <v>0</v>
      </c>
      <c r="QR92" s="22">
        <v>1</v>
      </c>
      <c r="QS92" s="22">
        <v>1</v>
      </c>
      <c r="QT92" s="22">
        <v>1</v>
      </c>
      <c r="QU92" s="22">
        <v>1</v>
      </c>
      <c r="QV92" s="22">
        <v>0</v>
      </c>
      <c r="QW92" s="22">
        <v>1</v>
      </c>
      <c r="QX92" s="22">
        <v>1</v>
      </c>
      <c r="QY92" s="22">
        <v>0</v>
      </c>
      <c r="QZ92" s="22">
        <v>1</v>
      </c>
      <c r="RA92" s="22">
        <v>0</v>
      </c>
      <c r="RB92" s="22">
        <v>1</v>
      </c>
      <c r="RC92" s="22">
        <v>1</v>
      </c>
      <c r="RD92" s="22">
        <v>0</v>
      </c>
      <c r="RE92" s="22">
        <v>0</v>
      </c>
      <c r="RF92" s="22">
        <v>0</v>
      </c>
      <c r="RG92" s="22">
        <v>0</v>
      </c>
      <c r="RH92" s="22">
        <v>0</v>
      </c>
      <c r="RI92" s="22">
        <v>0</v>
      </c>
      <c r="RJ92" s="22">
        <v>0</v>
      </c>
      <c r="RK92" s="22">
        <v>0</v>
      </c>
      <c r="RL92" s="22">
        <v>0</v>
      </c>
      <c r="RM92" s="22">
        <v>0</v>
      </c>
      <c r="RN92" s="22">
        <v>0</v>
      </c>
      <c r="RO92" s="22">
        <v>0</v>
      </c>
      <c r="RP92" s="22">
        <v>0</v>
      </c>
      <c r="RQ92" s="22">
        <v>0</v>
      </c>
      <c r="RR92" s="22">
        <v>0</v>
      </c>
      <c r="RS92" s="22">
        <v>1</v>
      </c>
      <c r="RT92" s="22">
        <v>1</v>
      </c>
      <c r="RU92" s="22">
        <v>0</v>
      </c>
      <c r="RV92" s="22">
        <v>0</v>
      </c>
      <c r="RW92" s="22">
        <v>1</v>
      </c>
      <c r="RX92" s="22">
        <v>1</v>
      </c>
      <c r="RY92" s="22">
        <v>1</v>
      </c>
      <c r="RZ92" s="22">
        <v>0</v>
      </c>
      <c r="SA92" s="22">
        <v>0</v>
      </c>
      <c r="SB92" s="22">
        <v>0</v>
      </c>
      <c r="SC92" s="22">
        <v>1</v>
      </c>
      <c r="SD92" s="22">
        <v>1</v>
      </c>
      <c r="SE92" s="22">
        <v>1</v>
      </c>
      <c r="SF92" s="22">
        <v>0</v>
      </c>
      <c r="SG92" s="22">
        <v>1</v>
      </c>
      <c r="SH92" s="22">
        <v>0</v>
      </c>
      <c r="SI92" s="22">
        <v>10094</v>
      </c>
      <c r="SJ92" s="19">
        <f t="shared" si="7"/>
        <v>99</v>
      </c>
      <c r="SK92" s="19">
        <f t="shared" si="8"/>
        <v>102</v>
      </c>
      <c r="SL92" s="19">
        <f t="shared" si="9"/>
        <v>3</v>
      </c>
      <c r="SM92" s="9">
        <v>10094</v>
      </c>
      <c r="SN92" s="9" t="s">
        <v>504</v>
      </c>
      <c r="SO92" s="10">
        <v>3</v>
      </c>
      <c r="SP92" s="9">
        <v>3</v>
      </c>
      <c r="SQ92" s="11" t="s">
        <v>519</v>
      </c>
      <c r="SR92" s="9">
        <v>13</v>
      </c>
      <c r="SS92" s="28">
        <v>31</v>
      </c>
      <c r="ST92" s="28">
        <v>16</v>
      </c>
      <c r="SU92" s="28">
        <v>111</v>
      </c>
      <c r="SV92" s="28">
        <v>23</v>
      </c>
      <c r="SW92" s="28">
        <v>1</v>
      </c>
      <c r="SX92" s="28">
        <v>5</v>
      </c>
      <c r="SY92" s="29">
        <v>27</v>
      </c>
      <c r="SZ92" s="30">
        <v>10</v>
      </c>
      <c r="TA92" s="31">
        <v>21</v>
      </c>
      <c r="TB92" s="31">
        <v>30</v>
      </c>
    </row>
    <row r="93" spans="1:522" ht="15.75" customHeight="1" x14ac:dyDescent="0.2">
      <c r="A93" s="22">
        <v>10095</v>
      </c>
      <c r="B93" s="22" t="s">
        <v>501</v>
      </c>
      <c r="C93" s="22" t="s">
        <v>502</v>
      </c>
      <c r="D93" s="22" t="s">
        <v>535</v>
      </c>
      <c r="E93" s="22" t="s">
        <v>509</v>
      </c>
      <c r="F93" s="23">
        <v>38995</v>
      </c>
      <c r="G93" s="23">
        <v>39583</v>
      </c>
      <c r="H93" s="14">
        <f t="shared" si="6"/>
        <v>19</v>
      </c>
      <c r="I93" s="22" t="s">
        <v>536</v>
      </c>
      <c r="J93" s="22">
        <v>1</v>
      </c>
      <c r="K93" s="22">
        <v>1</v>
      </c>
      <c r="L93" s="22">
        <v>1</v>
      </c>
      <c r="M93" s="17"/>
      <c r="N93" s="17"/>
      <c r="O93" s="17"/>
      <c r="P93" s="17"/>
      <c r="Q93" s="17"/>
      <c r="R93" s="22">
        <v>1</v>
      </c>
      <c r="S93" s="22">
        <v>1</v>
      </c>
      <c r="T93" s="22">
        <v>1</v>
      </c>
      <c r="U93" s="22">
        <v>1</v>
      </c>
      <c r="V93" s="22">
        <v>1</v>
      </c>
      <c r="W93" s="22">
        <v>1</v>
      </c>
      <c r="X93" s="22">
        <v>1</v>
      </c>
      <c r="Y93" s="22">
        <v>1</v>
      </c>
      <c r="Z93" s="22">
        <v>1</v>
      </c>
      <c r="AA93" s="22">
        <v>1</v>
      </c>
      <c r="AB93" s="22">
        <v>1</v>
      </c>
      <c r="AC93" s="22">
        <v>1</v>
      </c>
      <c r="AD93" s="17"/>
      <c r="AE93" s="22">
        <v>1</v>
      </c>
      <c r="AF93" s="22">
        <v>1</v>
      </c>
      <c r="AG93" s="17"/>
      <c r="AH93" s="22">
        <v>1</v>
      </c>
      <c r="AI93" s="17"/>
      <c r="AJ93" s="17"/>
      <c r="AK93" s="22">
        <v>1</v>
      </c>
      <c r="AL93" s="17"/>
      <c r="AM93" s="17"/>
      <c r="AN93" s="17"/>
      <c r="AO93" s="22" t="s">
        <v>507</v>
      </c>
      <c r="AP93" s="22" t="s">
        <v>507</v>
      </c>
      <c r="AQ93" s="22">
        <v>2</v>
      </c>
      <c r="AR93" s="22">
        <v>2</v>
      </c>
      <c r="AS93" s="17"/>
      <c r="AT93" s="22">
        <v>2</v>
      </c>
      <c r="AU93" s="22">
        <v>2</v>
      </c>
      <c r="AV93" s="22">
        <v>2</v>
      </c>
      <c r="AW93" s="22">
        <v>1</v>
      </c>
      <c r="AX93" s="22">
        <v>2</v>
      </c>
      <c r="AY93" s="22">
        <v>2</v>
      </c>
      <c r="AZ93" s="22">
        <v>2</v>
      </c>
      <c r="BA93" s="22">
        <v>2</v>
      </c>
      <c r="BB93" s="22">
        <v>1</v>
      </c>
      <c r="BC93" s="17"/>
      <c r="BD93" s="22">
        <v>1</v>
      </c>
      <c r="BE93" s="17"/>
      <c r="BF93" s="22">
        <v>2</v>
      </c>
      <c r="BG93" s="17"/>
      <c r="BH93" s="22">
        <v>2</v>
      </c>
      <c r="BI93" s="17"/>
      <c r="BJ93" s="22">
        <v>2</v>
      </c>
      <c r="BK93" s="17"/>
      <c r="BL93" s="22">
        <v>2</v>
      </c>
      <c r="BM93" s="17"/>
      <c r="BN93" s="22">
        <v>2</v>
      </c>
      <c r="BO93" s="17"/>
      <c r="BP93" s="22">
        <v>2</v>
      </c>
      <c r="BQ93" s="17"/>
      <c r="BR93" s="17"/>
      <c r="BS93" s="17"/>
      <c r="BT93" s="17"/>
      <c r="BU93" s="17"/>
      <c r="BV93" s="22">
        <v>1</v>
      </c>
      <c r="BW93" s="22">
        <v>1</v>
      </c>
      <c r="BX93" s="17"/>
      <c r="BY93" s="17"/>
      <c r="BZ93" s="22">
        <v>2</v>
      </c>
      <c r="CA93" s="22">
        <v>2</v>
      </c>
      <c r="CB93" s="17"/>
      <c r="CC93" s="17"/>
      <c r="CD93" s="17"/>
      <c r="CE93" s="17"/>
      <c r="CF93" s="17"/>
      <c r="CG93" s="22">
        <v>2</v>
      </c>
      <c r="CH93" s="17"/>
      <c r="CI93" s="17"/>
      <c r="CJ93" s="22">
        <v>1</v>
      </c>
      <c r="CK93" s="17"/>
      <c r="CL93" s="17"/>
      <c r="CM93" s="22">
        <v>1</v>
      </c>
      <c r="CN93" s="22">
        <v>2</v>
      </c>
      <c r="CO93" s="17"/>
      <c r="CP93" s="22">
        <v>2</v>
      </c>
      <c r="CQ93" s="22">
        <v>2</v>
      </c>
      <c r="CR93" s="22">
        <v>2</v>
      </c>
      <c r="CS93" s="22">
        <v>2</v>
      </c>
      <c r="CT93" s="22">
        <v>2</v>
      </c>
      <c r="CU93" s="22">
        <v>1</v>
      </c>
      <c r="CV93" s="22">
        <v>2</v>
      </c>
      <c r="CW93" s="22">
        <v>1</v>
      </c>
      <c r="CX93" s="17"/>
      <c r="CY93" s="22">
        <v>2</v>
      </c>
      <c r="CZ93" s="17"/>
      <c r="DA93" s="17"/>
      <c r="DB93" s="17"/>
      <c r="DC93" s="17"/>
      <c r="DD93" s="17"/>
      <c r="DE93" s="22">
        <v>2</v>
      </c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22">
        <v>2</v>
      </c>
      <c r="DZ93" s="17"/>
      <c r="EA93" s="22">
        <v>2</v>
      </c>
      <c r="EB93" s="22">
        <v>2</v>
      </c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22">
        <v>1</v>
      </c>
      <c r="EN93" s="17"/>
      <c r="EO93" s="17"/>
      <c r="EP93" s="17"/>
      <c r="EQ93" s="17"/>
      <c r="ER93" s="17"/>
      <c r="ES93" s="17"/>
      <c r="ET93" s="17"/>
      <c r="EU93" s="17"/>
      <c r="EV93" s="22">
        <v>2</v>
      </c>
      <c r="EW93" s="17"/>
      <c r="EX93" s="22">
        <v>2</v>
      </c>
      <c r="EY93" s="17"/>
      <c r="EZ93" s="17"/>
      <c r="FA93" s="17"/>
      <c r="FB93" s="22">
        <v>2</v>
      </c>
      <c r="FC93" s="17"/>
      <c r="FD93" s="17"/>
      <c r="FE93" s="22">
        <v>2</v>
      </c>
      <c r="FF93" s="17"/>
      <c r="FG93" s="17"/>
      <c r="FH93" s="17"/>
      <c r="FI93" s="17"/>
      <c r="FJ93" s="17"/>
      <c r="FK93" s="17"/>
      <c r="FL93" s="17"/>
      <c r="FM93" s="17"/>
      <c r="FN93" s="22">
        <v>1</v>
      </c>
      <c r="FO93" s="22">
        <v>2</v>
      </c>
      <c r="FP93" s="17"/>
      <c r="FQ93" s="17"/>
      <c r="FR93" s="17"/>
      <c r="FS93" s="17"/>
      <c r="FT93" s="22">
        <v>2</v>
      </c>
      <c r="FU93" s="22">
        <v>2</v>
      </c>
      <c r="FV93" s="17"/>
      <c r="FW93" s="22">
        <v>1</v>
      </c>
      <c r="FX93" s="17"/>
      <c r="FY93" s="17"/>
      <c r="FZ93" s="22">
        <v>2</v>
      </c>
      <c r="GA93" s="17"/>
      <c r="GB93" s="22">
        <v>2</v>
      </c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22">
        <v>2</v>
      </c>
      <c r="GY93" s="17"/>
      <c r="GZ93" s="17"/>
      <c r="HA93" s="17"/>
      <c r="HB93" s="17"/>
      <c r="HC93" s="17"/>
      <c r="HD93" s="17"/>
      <c r="HE93" s="22">
        <v>1</v>
      </c>
      <c r="HF93" s="17"/>
      <c r="HG93" s="17"/>
      <c r="HH93" s="17"/>
      <c r="HI93" s="17"/>
      <c r="HJ93" s="17"/>
      <c r="HK93" s="17"/>
      <c r="HL93" s="22">
        <v>1</v>
      </c>
      <c r="HM93" s="17"/>
      <c r="HN93" s="17"/>
      <c r="HO93" s="17"/>
      <c r="HP93" s="17"/>
      <c r="HQ93" s="17"/>
      <c r="HR93" s="17"/>
      <c r="HS93" s="17"/>
      <c r="HT93" s="22">
        <v>1</v>
      </c>
      <c r="HU93" s="17"/>
      <c r="HV93" s="17"/>
      <c r="HW93" s="17"/>
      <c r="HX93" s="17"/>
      <c r="HY93" s="17"/>
      <c r="HZ93" s="17"/>
      <c r="IA93" s="17"/>
      <c r="IB93" s="17"/>
      <c r="IC93" s="22">
        <v>1</v>
      </c>
      <c r="ID93" s="17"/>
      <c r="IE93" s="17"/>
      <c r="IF93" s="17"/>
      <c r="IG93" s="17"/>
      <c r="IH93" s="17"/>
      <c r="II93" s="17"/>
      <c r="IJ93" s="17"/>
      <c r="IK93" s="22">
        <v>2</v>
      </c>
      <c r="IL93" s="17"/>
      <c r="IM93" s="17"/>
      <c r="IN93" s="17"/>
      <c r="IO93" s="17"/>
      <c r="IP93" s="17"/>
      <c r="IQ93" s="17"/>
      <c r="IR93" s="17"/>
      <c r="IS93" s="22">
        <v>1</v>
      </c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22">
        <v>2</v>
      </c>
      <c r="JF93" s="17"/>
      <c r="JG93" s="17"/>
      <c r="JH93" s="17"/>
      <c r="JI93" s="22">
        <v>1</v>
      </c>
      <c r="JJ93" s="17"/>
      <c r="JK93" s="22">
        <v>2</v>
      </c>
      <c r="JL93" s="17"/>
      <c r="JM93" s="17"/>
      <c r="JN93" s="17"/>
      <c r="JO93" s="17"/>
      <c r="JP93" s="17"/>
      <c r="JQ93" s="22">
        <v>2</v>
      </c>
      <c r="JR93" s="17"/>
      <c r="JS93" s="17"/>
      <c r="JT93" s="17"/>
      <c r="JU93" s="17"/>
      <c r="JV93" s="17"/>
      <c r="JW93" s="17"/>
      <c r="JX93" s="22">
        <v>1</v>
      </c>
      <c r="JY93" s="17"/>
      <c r="JZ93" s="22">
        <v>1</v>
      </c>
      <c r="KA93" s="17"/>
      <c r="KB93" s="17"/>
      <c r="KC93" s="17"/>
      <c r="KD93" s="17"/>
      <c r="KE93" s="17"/>
      <c r="KF93" s="17"/>
      <c r="KG93" s="22">
        <v>2</v>
      </c>
      <c r="KH93" s="17"/>
      <c r="KI93" s="17"/>
      <c r="KJ93" s="17"/>
      <c r="KK93" s="17"/>
      <c r="KL93" s="17"/>
      <c r="KM93" s="17"/>
      <c r="KN93" s="17"/>
      <c r="KO93" s="17"/>
      <c r="KP93" s="22">
        <v>1</v>
      </c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22">
        <v>1</v>
      </c>
      <c r="LB93" s="17"/>
      <c r="LC93" s="17"/>
      <c r="LD93" s="17"/>
      <c r="LE93" s="17"/>
      <c r="LF93" s="17"/>
      <c r="LG93" s="17"/>
      <c r="LH93" s="22">
        <v>1</v>
      </c>
      <c r="LI93" s="22">
        <v>1</v>
      </c>
      <c r="LJ93" s="17"/>
      <c r="LK93" s="17"/>
      <c r="LL93" s="22">
        <v>1</v>
      </c>
      <c r="LM93" s="17"/>
      <c r="LN93" s="17"/>
      <c r="LO93" s="17"/>
      <c r="LP93" s="22">
        <v>1</v>
      </c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22">
        <v>1</v>
      </c>
      <c r="MD93" s="17"/>
      <c r="ME93" s="17"/>
      <c r="MF93" s="17"/>
      <c r="MG93" s="17"/>
      <c r="MH93" s="17"/>
      <c r="MI93" s="17"/>
      <c r="MJ93" s="17"/>
      <c r="MK93" s="17"/>
      <c r="ML93" s="22">
        <v>1</v>
      </c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22">
        <v>1</v>
      </c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22" t="s">
        <v>506</v>
      </c>
      <c r="PX93" s="22" t="s">
        <v>506</v>
      </c>
      <c r="PY93" s="22" t="s">
        <v>506</v>
      </c>
      <c r="PZ93" s="22" t="s">
        <v>507</v>
      </c>
      <c r="QA93" s="22" t="s">
        <v>507</v>
      </c>
      <c r="QB93" s="22" t="s">
        <v>507</v>
      </c>
      <c r="QC93" s="22" t="s">
        <v>508</v>
      </c>
      <c r="QD93" s="22" t="s">
        <v>508</v>
      </c>
      <c r="QE93" s="22" t="s">
        <v>508</v>
      </c>
      <c r="QF93" s="22" t="s">
        <v>507</v>
      </c>
      <c r="QG93" s="22" t="s">
        <v>508</v>
      </c>
      <c r="QH93" s="22" t="s">
        <v>508</v>
      </c>
      <c r="QI93" s="22">
        <v>1</v>
      </c>
      <c r="QJ93" s="22">
        <v>0</v>
      </c>
      <c r="QK93" s="22">
        <v>0</v>
      </c>
      <c r="QL93" s="22">
        <v>1</v>
      </c>
      <c r="QM93" s="22">
        <v>0</v>
      </c>
      <c r="QN93" s="22">
        <v>1</v>
      </c>
      <c r="QO93" s="22">
        <v>1</v>
      </c>
      <c r="QP93" s="22">
        <v>1</v>
      </c>
      <c r="QQ93" s="22">
        <v>1</v>
      </c>
      <c r="QR93" s="22">
        <v>1</v>
      </c>
      <c r="QS93" s="22">
        <v>1</v>
      </c>
      <c r="QT93" s="22">
        <v>1</v>
      </c>
      <c r="QU93" s="22">
        <v>1</v>
      </c>
      <c r="QV93" s="22">
        <v>0</v>
      </c>
      <c r="QW93" s="22">
        <v>1</v>
      </c>
      <c r="QX93" s="22">
        <v>1</v>
      </c>
      <c r="QY93" s="22">
        <v>0</v>
      </c>
      <c r="QZ93" s="22">
        <v>1</v>
      </c>
      <c r="RA93" s="22">
        <v>0</v>
      </c>
      <c r="RB93" s="22">
        <v>1</v>
      </c>
      <c r="RC93" s="22">
        <v>1</v>
      </c>
      <c r="RD93" s="22">
        <v>0</v>
      </c>
      <c r="RE93" s="22">
        <v>1</v>
      </c>
      <c r="RF93" s="22">
        <v>0</v>
      </c>
      <c r="RG93" s="22">
        <v>0</v>
      </c>
      <c r="RH93" s="22">
        <v>1</v>
      </c>
      <c r="RI93" s="22">
        <v>0</v>
      </c>
      <c r="RJ93" s="22">
        <v>0</v>
      </c>
      <c r="RK93" s="22">
        <v>0</v>
      </c>
      <c r="RL93" s="22">
        <v>1</v>
      </c>
      <c r="RM93" s="22">
        <v>0</v>
      </c>
      <c r="RN93" s="22">
        <v>1</v>
      </c>
      <c r="RO93" s="22">
        <v>1</v>
      </c>
      <c r="RP93" s="22">
        <v>0</v>
      </c>
      <c r="RQ93" s="22">
        <v>0</v>
      </c>
      <c r="RR93" s="22">
        <v>0</v>
      </c>
      <c r="RS93" s="22">
        <v>0</v>
      </c>
      <c r="RT93" s="22">
        <v>0</v>
      </c>
      <c r="RU93" s="22">
        <v>0</v>
      </c>
      <c r="RV93" s="22">
        <v>0</v>
      </c>
      <c r="RW93" s="22">
        <v>0</v>
      </c>
      <c r="RX93" s="22">
        <v>0</v>
      </c>
      <c r="RY93" s="22">
        <v>0</v>
      </c>
      <c r="RZ93" s="22">
        <v>0</v>
      </c>
      <c r="SA93" s="22">
        <v>0</v>
      </c>
      <c r="SB93" s="22">
        <v>0</v>
      </c>
      <c r="SC93" s="22">
        <v>0</v>
      </c>
      <c r="SD93" s="22">
        <v>0</v>
      </c>
      <c r="SE93" s="22">
        <v>1</v>
      </c>
      <c r="SF93" s="22">
        <v>1</v>
      </c>
      <c r="SG93" s="22">
        <v>1</v>
      </c>
      <c r="SH93" s="17"/>
      <c r="SI93" s="22">
        <v>10095</v>
      </c>
      <c r="SJ93" s="19">
        <f t="shared" si="7"/>
        <v>29</v>
      </c>
      <c r="SK93" s="19">
        <f t="shared" si="8"/>
        <v>74</v>
      </c>
      <c r="SL93" s="19">
        <f t="shared" si="9"/>
        <v>45</v>
      </c>
      <c r="SM93" s="9">
        <v>10095</v>
      </c>
      <c r="SN93" s="9" t="s">
        <v>509</v>
      </c>
      <c r="SO93" s="10">
        <v>3</v>
      </c>
      <c r="SP93" s="9">
        <v>3</v>
      </c>
      <c r="SQ93" s="11" t="s">
        <v>517</v>
      </c>
      <c r="SR93" s="9">
        <v>18</v>
      </c>
      <c r="SS93" s="28">
        <v>64.5</v>
      </c>
      <c r="ST93" s="28">
        <v>16</v>
      </c>
      <c r="SU93" s="28">
        <v>19</v>
      </c>
      <c r="SV93" s="28">
        <v>0</v>
      </c>
      <c r="SW93" s="28">
        <v>12</v>
      </c>
      <c r="SX93" s="28">
        <v>15</v>
      </c>
      <c r="SY93" s="29">
        <v>28</v>
      </c>
      <c r="SZ93" s="30">
        <v>8</v>
      </c>
      <c r="TA93" s="31">
        <v>9</v>
      </c>
      <c r="TB93" s="31">
        <v>5</v>
      </c>
    </row>
    <row r="94" spans="1:522" ht="15.75" customHeight="1" x14ac:dyDescent="0.2">
      <c r="A94" s="22">
        <v>10096</v>
      </c>
      <c r="B94" s="22" t="s">
        <v>501</v>
      </c>
      <c r="C94" s="22" t="s">
        <v>502</v>
      </c>
      <c r="D94" s="22" t="s">
        <v>535</v>
      </c>
      <c r="E94" s="22" t="s">
        <v>504</v>
      </c>
      <c r="F94" s="23">
        <v>39057</v>
      </c>
      <c r="G94" s="23">
        <v>39601</v>
      </c>
      <c r="H94" s="14">
        <f t="shared" si="6"/>
        <v>17</v>
      </c>
      <c r="I94" s="22" t="s">
        <v>538</v>
      </c>
      <c r="J94" s="22">
        <v>1</v>
      </c>
      <c r="K94" s="22">
        <v>1</v>
      </c>
      <c r="L94" s="22">
        <v>1</v>
      </c>
      <c r="M94" s="22">
        <v>1</v>
      </c>
      <c r="N94" s="17"/>
      <c r="O94" s="17"/>
      <c r="P94" s="17"/>
      <c r="Q94" s="22">
        <v>1</v>
      </c>
      <c r="R94" s="22">
        <v>1</v>
      </c>
      <c r="S94" s="22">
        <v>1</v>
      </c>
      <c r="T94" s="22">
        <v>1</v>
      </c>
      <c r="U94" s="22">
        <v>1</v>
      </c>
      <c r="V94" s="22">
        <v>1</v>
      </c>
      <c r="W94" s="22">
        <v>1</v>
      </c>
      <c r="X94" s="22">
        <v>1</v>
      </c>
      <c r="Y94" s="22">
        <v>1</v>
      </c>
      <c r="Z94" s="22">
        <v>1</v>
      </c>
      <c r="AA94" s="22">
        <v>1</v>
      </c>
      <c r="AB94" s="22">
        <v>1</v>
      </c>
      <c r="AC94" s="17"/>
      <c r="AD94" s="17"/>
      <c r="AE94" s="22">
        <v>1</v>
      </c>
      <c r="AF94" s="22">
        <v>1</v>
      </c>
      <c r="AG94" s="17"/>
      <c r="AH94" s="17"/>
      <c r="AI94" s="22">
        <v>1</v>
      </c>
      <c r="AJ94" s="17"/>
      <c r="AK94" s="17"/>
      <c r="AL94" s="17"/>
      <c r="AM94" s="17"/>
      <c r="AN94" s="17"/>
      <c r="AO94" s="17"/>
      <c r="AP94" s="17"/>
      <c r="AQ94" s="17"/>
      <c r="AR94" s="22">
        <v>2</v>
      </c>
      <c r="AS94" s="22">
        <v>2</v>
      </c>
      <c r="AT94" s="22">
        <v>2</v>
      </c>
      <c r="AU94" s="22">
        <v>2</v>
      </c>
      <c r="AV94" s="22">
        <v>2</v>
      </c>
      <c r="AW94" s="22">
        <v>1</v>
      </c>
      <c r="AX94" s="22">
        <v>1</v>
      </c>
      <c r="AY94" s="22">
        <v>2</v>
      </c>
      <c r="AZ94" s="22">
        <v>2</v>
      </c>
      <c r="BA94" s="22">
        <v>2</v>
      </c>
      <c r="BB94" s="17"/>
      <c r="BC94" s="17"/>
      <c r="BD94" s="22">
        <v>1</v>
      </c>
      <c r="BE94" s="17"/>
      <c r="BF94" s="22">
        <v>2</v>
      </c>
      <c r="BG94" s="22">
        <v>2</v>
      </c>
      <c r="BH94" s="17"/>
      <c r="BI94" s="22">
        <v>2</v>
      </c>
      <c r="BJ94" s="22">
        <v>2</v>
      </c>
      <c r="BK94" s="17"/>
      <c r="BL94" s="17"/>
      <c r="BM94" s="17"/>
      <c r="BN94" s="22">
        <v>2</v>
      </c>
      <c r="BO94" s="22">
        <v>1</v>
      </c>
      <c r="BP94" s="22">
        <v>2</v>
      </c>
      <c r="BQ94" s="22">
        <v>1</v>
      </c>
      <c r="BR94" s="22">
        <v>2</v>
      </c>
      <c r="BS94" s="22">
        <v>2</v>
      </c>
      <c r="BT94" s="22">
        <v>1</v>
      </c>
      <c r="BU94" s="17"/>
      <c r="BV94" s="22">
        <v>2</v>
      </c>
      <c r="BW94" s="22">
        <v>2</v>
      </c>
      <c r="BX94" s="17"/>
      <c r="BY94" s="22">
        <v>1</v>
      </c>
      <c r="BZ94" s="22">
        <v>2</v>
      </c>
      <c r="CA94" s="17"/>
      <c r="CB94" s="22">
        <v>2</v>
      </c>
      <c r="CC94" s="22">
        <v>2</v>
      </c>
      <c r="CD94" s="17"/>
      <c r="CE94" s="17"/>
      <c r="CF94" s="22">
        <v>2</v>
      </c>
      <c r="CG94" s="17"/>
      <c r="CH94" s="22">
        <v>1</v>
      </c>
      <c r="CI94" s="22">
        <v>1</v>
      </c>
      <c r="CJ94" s="22">
        <v>1</v>
      </c>
      <c r="CK94" s="22">
        <v>2</v>
      </c>
      <c r="CL94" s="22">
        <v>2</v>
      </c>
      <c r="CM94" s="22">
        <v>2</v>
      </c>
      <c r="CN94" s="22">
        <v>2</v>
      </c>
      <c r="CO94" s="22">
        <v>2</v>
      </c>
      <c r="CP94" s="22">
        <v>2</v>
      </c>
      <c r="CQ94" s="22">
        <v>2</v>
      </c>
      <c r="CR94" s="22">
        <v>2</v>
      </c>
      <c r="CS94" s="17"/>
      <c r="CT94" s="22">
        <v>1</v>
      </c>
      <c r="CU94" s="22">
        <v>2</v>
      </c>
      <c r="CV94" s="22">
        <v>2</v>
      </c>
      <c r="CW94" s="22">
        <v>2</v>
      </c>
      <c r="CX94" s="17"/>
      <c r="CY94" s="22">
        <v>2</v>
      </c>
      <c r="CZ94" s="22">
        <v>2</v>
      </c>
      <c r="DA94" s="17"/>
      <c r="DB94" s="17"/>
      <c r="DC94" s="17"/>
      <c r="DD94" s="22">
        <v>2</v>
      </c>
      <c r="DE94" s="22">
        <v>2</v>
      </c>
      <c r="DF94" s="17"/>
      <c r="DG94" s="17"/>
      <c r="DH94" s="17"/>
      <c r="DI94" s="17"/>
      <c r="DJ94" s="17"/>
      <c r="DK94" s="17"/>
      <c r="DL94" s="17"/>
      <c r="DM94" s="22">
        <v>2</v>
      </c>
      <c r="DN94" s="17"/>
      <c r="DO94" s="17"/>
      <c r="DP94" s="17"/>
      <c r="DQ94" s="22">
        <v>2</v>
      </c>
      <c r="DR94" s="17"/>
      <c r="DS94" s="17"/>
      <c r="DT94" s="17"/>
      <c r="DU94" s="22">
        <v>2</v>
      </c>
      <c r="DV94" s="22">
        <v>2</v>
      </c>
      <c r="DW94" s="22">
        <v>2</v>
      </c>
      <c r="DX94" s="17"/>
      <c r="DY94" s="22">
        <v>2</v>
      </c>
      <c r="DZ94" s="17"/>
      <c r="EA94" s="17"/>
      <c r="EB94" s="17"/>
      <c r="EC94" s="22">
        <v>2</v>
      </c>
      <c r="ED94" s="17"/>
      <c r="EE94" s="17"/>
      <c r="EF94" s="22">
        <v>1</v>
      </c>
      <c r="EG94" s="22">
        <v>2</v>
      </c>
      <c r="EH94" s="17"/>
      <c r="EI94" s="17"/>
      <c r="EJ94" s="17"/>
      <c r="EK94" s="22">
        <v>2</v>
      </c>
      <c r="EL94" s="22">
        <v>1</v>
      </c>
      <c r="EM94" s="22">
        <v>1</v>
      </c>
      <c r="EN94" s="22">
        <v>1</v>
      </c>
      <c r="EO94" s="22">
        <v>2</v>
      </c>
      <c r="EP94" s="22">
        <v>1</v>
      </c>
      <c r="EQ94" s="17"/>
      <c r="ER94" s="17"/>
      <c r="ES94" s="22">
        <v>1</v>
      </c>
      <c r="ET94" s="17"/>
      <c r="EU94" s="22">
        <v>1</v>
      </c>
      <c r="EV94" s="22">
        <v>2</v>
      </c>
      <c r="EW94" s="17"/>
      <c r="EX94" s="22">
        <v>2</v>
      </c>
      <c r="EY94" s="17"/>
      <c r="EZ94" s="22">
        <v>2</v>
      </c>
      <c r="FA94" s="17"/>
      <c r="FB94" s="22">
        <v>2</v>
      </c>
      <c r="FC94" s="17"/>
      <c r="FD94" s="22">
        <v>2</v>
      </c>
      <c r="FE94" s="22">
        <v>2</v>
      </c>
      <c r="FF94" s="17"/>
      <c r="FG94" s="22">
        <v>1</v>
      </c>
      <c r="FH94" s="22">
        <v>1</v>
      </c>
      <c r="FI94" s="22">
        <v>2</v>
      </c>
      <c r="FJ94" s="22">
        <v>1</v>
      </c>
      <c r="FK94" s="22">
        <v>2</v>
      </c>
      <c r="FL94" s="17"/>
      <c r="FM94" s="17"/>
      <c r="FN94" s="22">
        <v>1</v>
      </c>
      <c r="FO94" s="22">
        <v>2</v>
      </c>
      <c r="FP94" s="22">
        <v>2</v>
      </c>
      <c r="FQ94" s="22">
        <v>2</v>
      </c>
      <c r="FR94" s="22">
        <v>2</v>
      </c>
      <c r="FS94" s="22">
        <v>2</v>
      </c>
      <c r="FT94" s="22">
        <v>1</v>
      </c>
      <c r="FU94" s="17"/>
      <c r="FV94" s="22">
        <v>1</v>
      </c>
      <c r="FW94" s="17"/>
      <c r="FX94" s="17"/>
      <c r="FY94" s="22">
        <v>1</v>
      </c>
      <c r="FZ94" s="22">
        <v>1</v>
      </c>
      <c r="GA94" s="22">
        <v>2</v>
      </c>
      <c r="GB94" s="17"/>
      <c r="GC94" s="17"/>
      <c r="GD94" s="17"/>
      <c r="GE94" s="17"/>
      <c r="GF94" s="17"/>
      <c r="GG94" s="17"/>
      <c r="GH94" s="17"/>
      <c r="GI94" s="22">
        <v>2</v>
      </c>
      <c r="GJ94" s="17"/>
      <c r="GK94" s="22">
        <v>2</v>
      </c>
      <c r="GL94" s="17"/>
      <c r="GM94" s="17"/>
      <c r="GN94" s="17"/>
      <c r="GO94" s="17"/>
      <c r="GP94" s="22">
        <v>2</v>
      </c>
      <c r="GQ94" s="22">
        <v>1</v>
      </c>
      <c r="GR94" s="17"/>
      <c r="GS94" s="17"/>
      <c r="GT94" s="17"/>
      <c r="GU94" s="17"/>
      <c r="GV94" s="17"/>
      <c r="GW94" s="17"/>
      <c r="GX94" s="17"/>
      <c r="GY94" s="17"/>
      <c r="GZ94" s="22">
        <v>1</v>
      </c>
      <c r="HA94" s="17"/>
      <c r="HB94" s="22">
        <v>1</v>
      </c>
      <c r="HC94" s="22">
        <v>1</v>
      </c>
      <c r="HD94" s="22">
        <v>2</v>
      </c>
      <c r="HE94" s="17"/>
      <c r="HF94" s="22">
        <v>1</v>
      </c>
      <c r="HG94" s="22">
        <v>2</v>
      </c>
      <c r="HH94" s="17"/>
      <c r="HI94" s="22">
        <v>1</v>
      </c>
      <c r="HJ94" s="22">
        <v>1</v>
      </c>
      <c r="HK94" s="17"/>
      <c r="HL94" s="22">
        <v>2</v>
      </c>
      <c r="HM94" s="17"/>
      <c r="HN94" s="17"/>
      <c r="HO94" s="17"/>
      <c r="HP94" s="17"/>
      <c r="HQ94" s="17"/>
      <c r="HR94" s="22">
        <v>1</v>
      </c>
      <c r="HS94" s="17"/>
      <c r="HT94" s="22">
        <v>1</v>
      </c>
      <c r="HU94" s="22">
        <v>1</v>
      </c>
      <c r="HV94" s="17"/>
      <c r="HW94" s="17"/>
      <c r="HX94" s="17"/>
      <c r="HY94" s="17"/>
      <c r="HZ94" s="17"/>
      <c r="IA94" s="22">
        <v>2</v>
      </c>
      <c r="IB94" s="17"/>
      <c r="IC94" s="17"/>
      <c r="ID94" s="22">
        <v>2</v>
      </c>
      <c r="IE94" s="17"/>
      <c r="IF94" s="22">
        <v>2</v>
      </c>
      <c r="IG94" s="17"/>
      <c r="IH94" s="17"/>
      <c r="II94" s="17"/>
      <c r="IJ94" s="22">
        <v>2</v>
      </c>
      <c r="IK94" s="22">
        <v>2</v>
      </c>
      <c r="IL94" s="22">
        <v>2</v>
      </c>
      <c r="IM94" s="17"/>
      <c r="IN94" s="22">
        <v>2</v>
      </c>
      <c r="IO94" s="17"/>
      <c r="IP94" s="22">
        <v>2</v>
      </c>
      <c r="IQ94" s="17"/>
      <c r="IR94" s="17"/>
      <c r="IS94" s="17"/>
      <c r="IT94" s="22">
        <v>1</v>
      </c>
      <c r="IU94" s="17"/>
      <c r="IV94" s="17"/>
      <c r="IW94" s="17"/>
      <c r="IX94" s="22">
        <v>2</v>
      </c>
      <c r="IY94" s="22">
        <v>1</v>
      </c>
      <c r="IZ94" s="22">
        <v>2</v>
      </c>
      <c r="JA94" s="22">
        <v>2</v>
      </c>
      <c r="JB94" s="17"/>
      <c r="JC94" s="17"/>
      <c r="JD94" s="17"/>
      <c r="JE94" s="22">
        <v>2</v>
      </c>
      <c r="JF94" s="17"/>
      <c r="JG94" s="17"/>
      <c r="JH94" s="17"/>
      <c r="JI94" s="17"/>
      <c r="JJ94" s="17"/>
      <c r="JK94" s="22">
        <v>2</v>
      </c>
      <c r="JL94" s="22">
        <v>2</v>
      </c>
      <c r="JM94" s="22">
        <v>2</v>
      </c>
      <c r="JN94" s="22">
        <v>2</v>
      </c>
      <c r="JO94" s="17"/>
      <c r="JP94" s="17"/>
      <c r="JQ94" s="22">
        <v>2</v>
      </c>
      <c r="JR94" s="17"/>
      <c r="JS94" s="17"/>
      <c r="JT94" s="17"/>
      <c r="JU94" s="17"/>
      <c r="JV94" s="17"/>
      <c r="JW94" s="17"/>
      <c r="JX94" s="22">
        <v>2</v>
      </c>
      <c r="JY94" s="17"/>
      <c r="JZ94" s="22">
        <v>2</v>
      </c>
      <c r="KA94" s="17"/>
      <c r="KB94" s="22">
        <v>1</v>
      </c>
      <c r="KC94" s="22">
        <v>1</v>
      </c>
      <c r="KD94" s="22">
        <v>2</v>
      </c>
      <c r="KE94" s="17"/>
      <c r="KF94" s="22">
        <v>1</v>
      </c>
      <c r="KG94" s="22">
        <v>2</v>
      </c>
      <c r="KH94" s="22">
        <v>2</v>
      </c>
      <c r="KI94" s="22">
        <v>1</v>
      </c>
      <c r="KJ94" s="22">
        <v>1</v>
      </c>
      <c r="KK94" s="22">
        <v>2</v>
      </c>
      <c r="KL94" s="22">
        <v>2</v>
      </c>
      <c r="KM94" s="22">
        <v>2</v>
      </c>
      <c r="KN94" s="22">
        <v>2</v>
      </c>
      <c r="KO94" s="22">
        <v>1</v>
      </c>
      <c r="KP94" s="17"/>
      <c r="KQ94" s="22">
        <v>2</v>
      </c>
      <c r="KR94" s="22">
        <v>1</v>
      </c>
      <c r="KS94" s="22">
        <v>1</v>
      </c>
      <c r="KT94" s="22">
        <v>1</v>
      </c>
      <c r="KU94" s="22">
        <v>2</v>
      </c>
      <c r="KV94" s="22">
        <v>2</v>
      </c>
      <c r="KW94" s="22">
        <v>2</v>
      </c>
      <c r="KX94" s="22">
        <v>1</v>
      </c>
      <c r="KY94" s="22">
        <v>1</v>
      </c>
      <c r="KZ94" s="17"/>
      <c r="LA94" s="22">
        <v>1</v>
      </c>
      <c r="LB94" s="17"/>
      <c r="LC94" s="22">
        <v>2</v>
      </c>
      <c r="LD94" s="17"/>
      <c r="LE94" s="17"/>
      <c r="LF94" s="17"/>
      <c r="LG94" s="22">
        <v>1</v>
      </c>
      <c r="LH94" s="22">
        <v>1</v>
      </c>
      <c r="LI94" s="22">
        <v>2</v>
      </c>
      <c r="LJ94" s="17"/>
      <c r="LK94" s="17"/>
      <c r="LL94" s="22">
        <v>1</v>
      </c>
      <c r="LM94" s="22">
        <v>1</v>
      </c>
      <c r="LN94" s="22">
        <v>2</v>
      </c>
      <c r="LO94" s="22">
        <v>2</v>
      </c>
      <c r="LP94" s="22">
        <v>1</v>
      </c>
      <c r="LQ94" s="22">
        <v>1</v>
      </c>
      <c r="LR94" s="17"/>
      <c r="LS94" s="22">
        <v>2</v>
      </c>
      <c r="LT94" s="22">
        <v>1</v>
      </c>
      <c r="LU94" s="22">
        <v>1</v>
      </c>
      <c r="LV94" s="22">
        <v>1</v>
      </c>
      <c r="LW94" s="17"/>
      <c r="LX94" s="17"/>
      <c r="LY94" s="22">
        <v>2</v>
      </c>
      <c r="LZ94" s="22">
        <v>2</v>
      </c>
      <c r="MA94" s="17"/>
      <c r="MB94" s="22">
        <v>1</v>
      </c>
      <c r="MC94" s="17"/>
      <c r="MD94" s="17"/>
      <c r="ME94" s="22">
        <v>1</v>
      </c>
      <c r="MF94" s="17"/>
      <c r="MG94" s="17"/>
      <c r="MH94" s="22">
        <v>1</v>
      </c>
      <c r="MI94" s="17"/>
      <c r="MJ94" s="22">
        <v>1</v>
      </c>
      <c r="MK94" s="22">
        <v>1</v>
      </c>
      <c r="ML94" s="22">
        <v>1</v>
      </c>
      <c r="MM94" s="17"/>
      <c r="MN94" s="17"/>
      <c r="MO94" s="17"/>
      <c r="MP94" s="17"/>
      <c r="MQ94" s="22">
        <v>2</v>
      </c>
      <c r="MR94" s="22">
        <v>1</v>
      </c>
      <c r="MS94" s="17"/>
      <c r="MT94" s="17"/>
      <c r="MU94" s="17"/>
      <c r="MV94" s="17"/>
      <c r="MW94" s="17"/>
      <c r="MX94" s="17"/>
      <c r="MY94" s="17"/>
      <c r="MZ94" s="17"/>
      <c r="NA94" s="17"/>
      <c r="NB94" s="22">
        <v>2</v>
      </c>
      <c r="NC94" s="17"/>
      <c r="ND94" s="17"/>
      <c r="NE94" s="22">
        <v>1</v>
      </c>
      <c r="NF94" s="17"/>
      <c r="NG94" s="22">
        <v>2</v>
      </c>
      <c r="NH94" s="22">
        <v>1</v>
      </c>
      <c r="NI94" s="22">
        <v>1</v>
      </c>
      <c r="NJ94" s="22">
        <v>2</v>
      </c>
      <c r="NK94" s="17"/>
      <c r="NL94" s="17"/>
      <c r="NM94" s="22">
        <v>1</v>
      </c>
      <c r="NN94" s="17"/>
      <c r="NO94" s="17"/>
      <c r="NP94" s="17"/>
      <c r="NQ94" s="17"/>
      <c r="NR94" s="22">
        <v>1</v>
      </c>
      <c r="NS94" s="17"/>
      <c r="NT94" s="17"/>
      <c r="NU94" s="17"/>
      <c r="NV94" s="22">
        <v>2</v>
      </c>
      <c r="NW94" s="22">
        <v>1</v>
      </c>
      <c r="NX94" s="17"/>
      <c r="NY94" s="17"/>
      <c r="NZ94" s="17"/>
      <c r="OA94" s="22">
        <v>1</v>
      </c>
      <c r="OB94" s="17"/>
      <c r="OC94" s="22">
        <v>2</v>
      </c>
      <c r="OD94" s="17"/>
      <c r="OE94" s="17"/>
      <c r="OF94" s="17"/>
      <c r="OG94" s="17"/>
      <c r="OH94" s="17"/>
      <c r="OI94" s="17"/>
      <c r="OJ94" s="17"/>
      <c r="OK94" s="22">
        <v>1</v>
      </c>
      <c r="OL94" s="22">
        <v>2</v>
      </c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22">
        <v>2</v>
      </c>
      <c r="OZ94" s="17"/>
      <c r="PA94" s="22">
        <v>1</v>
      </c>
      <c r="PB94" s="17"/>
      <c r="PC94" s="17"/>
      <c r="PD94" s="17"/>
      <c r="PE94" s="17"/>
      <c r="PF94" s="22">
        <v>2</v>
      </c>
      <c r="PG94" s="17"/>
      <c r="PH94" s="22">
        <v>1</v>
      </c>
      <c r="PI94" s="22">
        <v>2</v>
      </c>
      <c r="PJ94" s="22">
        <v>2</v>
      </c>
      <c r="PK94" s="17"/>
      <c r="PL94" s="17"/>
      <c r="PM94" s="22">
        <v>1</v>
      </c>
      <c r="PN94" s="22">
        <v>2</v>
      </c>
      <c r="PO94" s="17"/>
      <c r="PP94" s="17"/>
      <c r="PQ94" s="22">
        <v>2</v>
      </c>
      <c r="PR94" s="17"/>
      <c r="PS94" s="17"/>
      <c r="PT94" s="17"/>
      <c r="PU94" s="17"/>
      <c r="PV94" s="17"/>
      <c r="PW94" s="17"/>
      <c r="PX94" s="17"/>
      <c r="PY94" s="22" t="s">
        <v>506</v>
      </c>
      <c r="PZ94" s="22" t="s">
        <v>506</v>
      </c>
      <c r="QA94" s="22" t="s">
        <v>507</v>
      </c>
      <c r="QB94" s="22" t="s">
        <v>507</v>
      </c>
      <c r="QC94" s="22" t="s">
        <v>508</v>
      </c>
      <c r="QD94" s="22" t="s">
        <v>508</v>
      </c>
      <c r="QE94" s="22" t="s">
        <v>506</v>
      </c>
      <c r="QF94" s="22" t="s">
        <v>507</v>
      </c>
      <c r="QG94" s="22" t="s">
        <v>508</v>
      </c>
      <c r="QH94" s="22" t="s">
        <v>506</v>
      </c>
      <c r="QI94" s="17"/>
      <c r="QJ94" s="22">
        <v>1</v>
      </c>
      <c r="QK94" s="17"/>
      <c r="QL94" s="22">
        <v>1</v>
      </c>
      <c r="QM94" s="22">
        <v>1</v>
      </c>
      <c r="QN94" s="22">
        <v>1</v>
      </c>
      <c r="QO94" s="22">
        <v>1</v>
      </c>
      <c r="QP94" s="22">
        <v>1</v>
      </c>
      <c r="QQ94" s="22">
        <v>1</v>
      </c>
      <c r="QR94" s="22">
        <v>1</v>
      </c>
      <c r="QS94" s="22">
        <v>1</v>
      </c>
      <c r="QT94" s="22">
        <v>1</v>
      </c>
      <c r="QU94" s="22">
        <v>1</v>
      </c>
      <c r="QV94" s="22">
        <v>1</v>
      </c>
      <c r="QW94" s="17"/>
      <c r="QX94" s="22">
        <v>1</v>
      </c>
      <c r="QY94" s="22">
        <v>0</v>
      </c>
      <c r="QZ94" s="22">
        <v>1</v>
      </c>
      <c r="RA94" s="22">
        <v>1</v>
      </c>
      <c r="RB94" s="22">
        <v>1</v>
      </c>
      <c r="RC94" s="22">
        <v>1</v>
      </c>
      <c r="RD94" s="22">
        <v>0</v>
      </c>
      <c r="RE94" s="22">
        <v>0</v>
      </c>
      <c r="RF94" s="22">
        <v>1</v>
      </c>
      <c r="RG94" s="22">
        <v>0</v>
      </c>
      <c r="RH94" s="22">
        <v>1</v>
      </c>
      <c r="RI94" s="22">
        <v>0</v>
      </c>
      <c r="RJ94" s="17"/>
      <c r="RK94" s="22">
        <v>0</v>
      </c>
      <c r="RL94" s="22">
        <v>0</v>
      </c>
      <c r="RM94" s="17"/>
      <c r="RN94" s="22">
        <v>1</v>
      </c>
      <c r="RO94" s="22">
        <v>0</v>
      </c>
      <c r="RP94" s="22">
        <v>0</v>
      </c>
      <c r="RQ94" s="17"/>
      <c r="RR94" s="22">
        <v>0</v>
      </c>
      <c r="RS94" s="22">
        <v>1</v>
      </c>
      <c r="RT94" s="22">
        <v>1</v>
      </c>
      <c r="RU94" s="22">
        <v>1</v>
      </c>
      <c r="RV94" s="17"/>
      <c r="RW94" s="22">
        <v>1</v>
      </c>
      <c r="RX94" s="22">
        <v>1</v>
      </c>
      <c r="RY94" s="22">
        <v>1</v>
      </c>
      <c r="RZ94" s="22">
        <v>1</v>
      </c>
      <c r="SA94" s="22">
        <v>1</v>
      </c>
      <c r="SB94" s="22">
        <v>1</v>
      </c>
      <c r="SC94" s="22">
        <v>1</v>
      </c>
      <c r="SD94" s="22">
        <v>1</v>
      </c>
      <c r="SE94" s="22">
        <v>1</v>
      </c>
      <c r="SF94" s="22">
        <v>1</v>
      </c>
      <c r="SG94" s="22">
        <v>1</v>
      </c>
      <c r="SH94" s="22">
        <v>0</v>
      </c>
      <c r="SI94" s="22">
        <v>10096</v>
      </c>
      <c r="SJ94" s="19">
        <f t="shared" si="7"/>
        <v>77</v>
      </c>
      <c r="SK94" s="19">
        <f t="shared" si="8"/>
        <v>194</v>
      </c>
      <c r="SL94" s="19">
        <f t="shared" si="9"/>
        <v>117</v>
      </c>
      <c r="SM94" s="9">
        <v>10096</v>
      </c>
      <c r="SN94" s="9" t="s">
        <v>504</v>
      </c>
      <c r="SO94" s="10">
        <v>1</v>
      </c>
      <c r="SP94" s="9">
        <v>2</v>
      </c>
      <c r="SQ94" s="11" t="s">
        <v>519</v>
      </c>
      <c r="SR94" s="9">
        <v>16</v>
      </c>
      <c r="SS94" s="28">
        <v>54</v>
      </c>
      <c r="ST94" s="28">
        <v>16</v>
      </c>
      <c r="SU94" s="28">
        <v>152</v>
      </c>
      <c r="SV94" s="28">
        <v>38</v>
      </c>
      <c r="SW94" s="28">
        <v>91</v>
      </c>
      <c r="SX94" s="28">
        <v>88</v>
      </c>
      <c r="SY94" s="29">
        <v>41</v>
      </c>
      <c r="SZ94" s="30">
        <v>55</v>
      </c>
      <c r="TA94" s="31">
        <v>23</v>
      </c>
      <c r="TB94" s="31">
        <v>40</v>
      </c>
    </row>
    <row r="95" spans="1:522" ht="15.75" customHeight="1" x14ac:dyDescent="0.2">
      <c r="A95" s="22">
        <v>10097</v>
      </c>
      <c r="B95" s="22" t="s">
        <v>501</v>
      </c>
      <c r="C95" s="22" t="s">
        <v>502</v>
      </c>
      <c r="D95" s="22" t="s">
        <v>535</v>
      </c>
      <c r="E95" s="22" t="s">
        <v>509</v>
      </c>
      <c r="F95" s="23">
        <v>39121</v>
      </c>
      <c r="G95" s="23">
        <v>39671</v>
      </c>
      <c r="H95" s="14">
        <f t="shared" si="6"/>
        <v>18</v>
      </c>
      <c r="I95" s="22" t="s">
        <v>537</v>
      </c>
      <c r="J95" s="22">
        <v>1</v>
      </c>
      <c r="K95" s="22">
        <v>1</v>
      </c>
      <c r="L95" s="22">
        <v>1</v>
      </c>
      <c r="M95" s="17"/>
      <c r="N95" s="22">
        <v>1</v>
      </c>
      <c r="O95" s="17"/>
      <c r="P95" s="17"/>
      <c r="Q95" s="22">
        <v>1</v>
      </c>
      <c r="R95" s="22">
        <v>1</v>
      </c>
      <c r="S95" s="22">
        <v>1</v>
      </c>
      <c r="T95" s="22">
        <v>1</v>
      </c>
      <c r="U95" s="17"/>
      <c r="V95" s="22">
        <v>1</v>
      </c>
      <c r="W95" s="22">
        <v>1</v>
      </c>
      <c r="X95" s="17"/>
      <c r="Y95" s="22">
        <v>1</v>
      </c>
      <c r="Z95" s="22">
        <v>1</v>
      </c>
      <c r="AA95" s="22">
        <v>1</v>
      </c>
      <c r="AB95" s="22">
        <v>1</v>
      </c>
      <c r="AC95" s="22">
        <v>1</v>
      </c>
      <c r="AD95" s="17"/>
      <c r="AE95" s="22">
        <v>1</v>
      </c>
      <c r="AF95" s="22">
        <v>1</v>
      </c>
      <c r="AG95" s="17"/>
      <c r="AH95" s="17"/>
      <c r="AI95" s="22">
        <v>1</v>
      </c>
      <c r="AJ95" s="22">
        <v>1</v>
      </c>
      <c r="AK95" s="17"/>
      <c r="AL95" s="22">
        <v>1</v>
      </c>
      <c r="AM95" s="17"/>
      <c r="AN95" s="17"/>
      <c r="AO95" s="22" t="s">
        <v>507</v>
      </c>
      <c r="AP95" s="22" t="s">
        <v>508</v>
      </c>
      <c r="AQ95" s="17"/>
      <c r="AR95" s="17"/>
      <c r="AS95" s="17"/>
      <c r="AT95" s="22">
        <v>2</v>
      </c>
      <c r="AU95" s="17"/>
      <c r="AV95" s="17"/>
      <c r="AW95" s="17"/>
      <c r="AX95" s="17"/>
      <c r="AY95" s="17"/>
      <c r="AZ95" s="17"/>
      <c r="BA95" s="17"/>
      <c r="BB95" s="17"/>
      <c r="BC95" s="17"/>
      <c r="BD95" s="22">
        <v>1</v>
      </c>
      <c r="BE95" s="17"/>
      <c r="BF95" s="22">
        <v>1</v>
      </c>
      <c r="BG95" s="22">
        <v>1</v>
      </c>
      <c r="BH95" s="22">
        <v>1</v>
      </c>
      <c r="BI95" s="22">
        <v>1</v>
      </c>
      <c r="BJ95" s="22">
        <v>1</v>
      </c>
      <c r="BK95" s="22">
        <v>1</v>
      </c>
      <c r="BL95" s="17"/>
      <c r="BM95" s="17"/>
      <c r="BN95" s="22">
        <v>1</v>
      </c>
      <c r="BO95" s="17"/>
      <c r="BP95" s="17"/>
      <c r="BQ95" s="22">
        <v>1</v>
      </c>
      <c r="BR95" s="22">
        <v>1</v>
      </c>
      <c r="BS95" s="22">
        <v>1</v>
      </c>
      <c r="BT95" s="22">
        <v>1</v>
      </c>
      <c r="BU95" s="17"/>
      <c r="BV95" s="17"/>
      <c r="BW95" s="22">
        <v>1</v>
      </c>
      <c r="BX95" s="22">
        <v>1</v>
      </c>
      <c r="BY95" s="17"/>
      <c r="BZ95" s="22">
        <v>1</v>
      </c>
      <c r="CA95" s="17"/>
      <c r="CB95" s="22">
        <v>1</v>
      </c>
      <c r="CC95" s="22">
        <v>1</v>
      </c>
      <c r="CD95" s="22">
        <v>1</v>
      </c>
      <c r="CE95" s="17"/>
      <c r="CF95" s="22">
        <v>1</v>
      </c>
      <c r="CG95" s="22">
        <v>1</v>
      </c>
      <c r="CH95" s="17"/>
      <c r="CI95" s="22">
        <v>1</v>
      </c>
      <c r="CJ95" s="22">
        <v>1</v>
      </c>
      <c r="CK95" s="17"/>
      <c r="CL95" s="22">
        <v>1</v>
      </c>
      <c r="CM95" s="17"/>
      <c r="CN95" s="17"/>
      <c r="CO95" s="17"/>
      <c r="CP95" s="22">
        <v>2</v>
      </c>
      <c r="CQ95" s="17"/>
      <c r="CR95" s="17"/>
      <c r="CS95" s="22">
        <v>1</v>
      </c>
      <c r="CT95" s="17"/>
      <c r="CU95" s="17"/>
      <c r="CV95" s="22">
        <v>2</v>
      </c>
      <c r="CW95" s="17"/>
      <c r="CX95" s="22">
        <v>1</v>
      </c>
      <c r="CY95" s="22">
        <v>2</v>
      </c>
      <c r="CZ95" s="17"/>
      <c r="DA95" s="22">
        <v>1</v>
      </c>
      <c r="DB95" s="22">
        <v>2</v>
      </c>
      <c r="DC95" s="17"/>
      <c r="DD95" s="22">
        <v>1</v>
      </c>
      <c r="DE95" s="22">
        <v>1</v>
      </c>
      <c r="DF95" s="17"/>
      <c r="DG95" s="17"/>
      <c r="DH95" s="17"/>
      <c r="DI95" s="17"/>
      <c r="DJ95" s="22">
        <v>1</v>
      </c>
      <c r="DK95" s="22">
        <v>1</v>
      </c>
      <c r="DL95" s="22">
        <v>1</v>
      </c>
      <c r="DM95" s="17"/>
      <c r="DN95" s="17"/>
      <c r="DO95" s="17"/>
      <c r="DP95" s="22">
        <v>1</v>
      </c>
      <c r="DQ95" s="17"/>
      <c r="DR95" s="22">
        <v>1</v>
      </c>
      <c r="DS95" s="17"/>
      <c r="DT95" s="17"/>
      <c r="DU95" s="17"/>
      <c r="DV95" s="22">
        <v>1</v>
      </c>
      <c r="DW95" s="17"/>
      <c r="DX95" s="17"/>
      <c r="DY95" s="22">
        <v>1</v>
      </c>
      <c r="DZ95" s="17"/>
      <c r="EA95" s="17"/>
      <c r="EB95" s="17"/>
      <c r="EC95" s="17"/>
      <c r="ED95" s="17"/>
      <c r="EE95" s="17"/>
      <c r="EF95" s="17"/>
      <c r="EG95" s="22">
        <v>1</v>
      </c>
      <c r="EH95" s="17"/>
      <c r="EI95" s="22">
        <v>1</v>
      </c>
      <c r="EJ95" s="17"/>
      <c r="EK95" s="17"/>
      <c r="EL95" s="17"/>
      <c r="EM95" s="22">
        <v>1</v>
      </c>
      <c r="EN95" s="17"/>
      <c r="EO95" s="17"/>
      <c r="EP95" s="17"/>
      <c r="EQ95" s="17"/>
      <c r="ER95" s="17"/>
      <c r="ES95" s="17"/>
      <c r="ET95" s="22">
        <v>1</v>
      </c>
      <c r="EU95" s="22">
        <v>1</v>
      </c>
      <c r="EV95" s="22">
        <v>2</v>
      </c>
      <c r="EW95" s="17"/>
      <c r="EX95" s="22">
        <v>1</v>
      </c>
      <c r="EY95" s="17"/>
      <c r="EZ95" s="17"/>
      <c r="FA95" s="17"/>
      <c r="FB95" s="22">
        <v>1</v>
      </c>
      <c r="FC95" s="22">
        <v>1</v>
      </c>
      <c r="FD95" s="22">
        <v>1</v>
      </c>
      <c r="FE95" s="22">
        <v>1</v>
      </c>
      <c r="FF95" s="17"/>
      <c r="FG95" s="22">
        <v>1</v>
      </c>
      <c r="FH95" s="22">
        <v>1</v>
      </c>
      <c r="FI95" s="22">
        <v>1</v>
      </c>
      <c r="FJ95" s="22">
        <v>1</v>
      </c>
      <c r="FK95" s="17"/>
      <c r="FL95" s="17"/>
      <c r="FM95" s="17"/>
      <c r="FN95" s="22">
        <v>1</v>
      </c>
      <c r="FO95" s="22">
        <v>1</v>
      </c>
      <c r="FP95" s="17"/>
      <c r="FQ95" s="22">
        <v>1</v>
      </c>
      <c r="FR95" s="17"/>
      <c r="FS95" s="17"/>
      <c r="FT95" s="17"/>
      <c r="FU95" s="22">
        <v>1</v>
      </c>
      <c r="FV95" s="22">
        <v>2</v>
      </c>
      <c r="FW95" s="17"/>
      <c r="FX95" s="17"/>
      <c r="FY95" s="17"/>
      <c r="FZ95" s="17"/>
      <c r="GA95" s="17"/>
      <c r="GB95" s="17"/>
      <c r="GC95" s="22">
        <v>1</v>
      </c>
      <c r="GD95" s="17"/>
      <c r="GE95" s="17"/>
      <c r="GF95" s="17"/>
      <c r="GG95" s="22">
        <v>1</v>
      </c>
      <c r="GH95" s="17"/>
      <c r="GI95" s="22">
        <v>1</v>
      </c>
      <c r="GJ95" s="17"/>
      <c r="GK95" s="17"/>
      <c r="GL95" s="17"/>
      <c r="GM95" s="17"/>
      <c r="GN95" s="22">
        <v>1</v>
      </c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22">
        <v>1</v>
      </c>
      <c r="GZ95" s="17"/>
      <c r="HA95" s="17"/>
      <c r="HB95" s="17"/>
      <c r="HC95" s="17"/>
      <c r="HD95" s="17"/>
      <c r="HE95" s="22">
        <v>1</v>
      </c>
      <c r="HF95" s="22">
        <v>1</v>
      </c>
      <c r="HG95" s="22">
        <v>1</v>
      </c>
      <c r="HH95" s="17"/>
      <c r="HI95" s="22">
        <v>1</v>
      </c>
      <c r="HJ95" s="22">
        <v>1</v>
      </c>
      <c r="HK95" s="17"/>
      <c r="HL95" s="22">
        <v>1</v>
      </c>
      <c r="HM95" s="17"/>
      <c r="HN95" s="17"/>
      <c r="HO95" s="22">
        <v>1</v>
      </c>
      <c r="HP95" s="22">
        <v>1</v>
      </c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22">
        <v>1</v>
      </c>
      <c r="IB95" s="22">
        <v>1</v>
      </c>
      <c r="IC95" s="17"/>
      <c r="ID95" s="17"/>
      <c r="IE95" s="17"/>
      <c r="IF95" s="22">
        <v>2</v>
      </c>
      <c r="IG95" s="17"/>
      <c r="IH95" s="22">
        <v>1</v>
      </c>
      <c r="II95" s="17"/>
      <c r="IJ95" s="17"/>
      <c r="IK95" s="22">
        <v>1</v>
      </c>
      <c r="IL95" s="17"/>
      <c r="IM95" s="17"/>
      <c r="IN95" s="17"/>
      <c r="IO95" s="17"/>
      <c r="IP95" s="17"/>
      <c r="IQ95" s="17"/>
      <c r="IR95" s="22">
        <v>1</v>
      </c>
      <c r="IS95" s="17"/>
      <c r="IT95" s="17"/>
      <c r="IU95" s="17"/>
      <c r="IV95" s="22">
        <v>1</v>
      </c>
      <c r="IW95" s="17"/>
      <c r="IX95" s="22">
        <v>1</v>
      </c>
      <c r="IY95" s="17"/>
      <c r="IZ95" s="17"/>
      <c r="JA95" s="22">
        <v>1</v>
      </c>
      <c r="JB95" s="17"/>
      <c r="JC95" s="17"/>
      <c r="JD95" s="17"/>
      <c r="JE95" s="22">
        <v>2</v>
      </c>
      <c r="JF95" s="17"/>
      <c r="JG95" s="22">
        <v>1</v>
      </c>
      <c r="JH95" s="17"/>
      <c r="JI95" s="17"/>
      <c r="JJ95" s="17"/>
      <c r="JK95" s="22">
        <v>2</v>
      </c>
      <c r="JL95" s="17"/>
      <c r="JM95" s="22">
        <v>2</v>
      </c>
      <c r="JN95" s="22">
        <v>1</v>
      </c>
      <c r="JO95" s="17"/>
      <c r="JP95" s="17"/>
      <c r="JQ95" s="22">
        <v>2</v>
      </c>
      <c r="JR95" s="22">
        <v>1</v>
      </c>
      <c r="JS95" s="17"/>
      <c r="JT95" s="17"/>
      <c r="JU95" s="17"/>
      <c r="JV95" s="17"/>
      <c r="JW95" s="17"/>
      <c r="JX95" s="22">
        <v>1</v>
      </c>
      <c r="JY95" s="17"/>
      <c r="JZ95" s="22">
        <v>2</v>
      </c>
      <c r="KA95" s="22">
        <v>1</v>
      </c>
      <c r="KB95" s="17"/>
      <c r="KC95" s="17"/>
      <c r="KD95" s="22">
        <v>2</v>
      </c>
      <c r="KE95" s="17"/>
      <c r="KF95" s="17"/>
      <c r="KG95" s="22">
        <v>1</v>
      </c>
      <c r="KH95" s="22">
        <v>1</v>
      </c>
      <c r="KI95" s="17"/>
      <c r="KJ95" s="22">
        <v>1</v>
      </c>
      <c r="KK95" s="17"/>
      <c r="KL95" s="17"/>
      <c r="KM95" s="22">
        <v>1</v>
      </c>
      <c r="KN95" s="17"/>
      <c r="KO95" s="17"/>
      <c r="KP95" s="22">
        <v>1</v>
      </c>
      <c r="KQ95" s="17"/>
      <c r="KR95" s="17"/>
      <c r="KS95" s="17"/>
      <c r="KT95" s="22">
        <v>1</v>
      </c>
      <c r="KU95" s="17"/>
      <c r="KV95" s="17"/>
      <c r="KW95" s="17"/>
      <c r="KX95" s="17"/>
      <c r="KY95" s="17"/>
      <c r="KZ95" s="22">
        <v>1</v>
      </c>
      <c r="LA95" s="22">
        <v>1</v>
      </c>
      <c r="LB95" s="17"/>
      <c r="LC95" s="17"/>
      <c r="LD95" s="17"/>
      <c r="LE95" s="17"/>
      <c r="LF95" s="17"/>
      <c r="LG95" s="22">
        <v>1</v>
      </c>
      <c r="LH95" s="22">
        <v>1</v>
      </c>
      <c r="LI95" s="22">
        <v>1</v>
      </c>
      <c r="LJ95" s="17"/>
      <c r="LK95" s="17"/>
      <c r="LL95" s="22">
        <v>1</v>
      </c>
      <c r="LM95" s="17"/>
      <c r="LN95" s="17"/>
      <c r="LO95" s="17"/>
      <c r="LP95" s="22">
        <v>1</v>
      </c>
      <c r="LQ95" s="17"/>
      <c r="LR95" s="17"/>
      <c r="LS95" s="17"/>
      <c r="LT95" s="22">
        <v>1</v>
      </c>
      <c r="LU95" s="17"/>
      <c r="LV95" s="17"/>
      <c r="LW95" s="17"/>
      <c r="LX95" s="17"/>
      <c r="LY95" s="17"/>
      <c r="LZ95" s="17"/>
      <c r="MA95" s="17"/>
      <c r="MB95" s="17"/>
      <c r="MC95" s="22">
        <v>1</v>
      </c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22">
        <v>1</v>
      </c>
      <c r="NS95" s="22">
        <v>2</v>
      </c>
      <c r="NT95" s="17"/>
      <c r="NU95" s="17"/>
      <c r="NV95" s="22">
        <v>2</v>
      </c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22">
        <v>1</v>
      </c>
      <c r="OH95" s="17"/>
      <c r="OI95" s="22">
        <v>1</v>
      </c>
      <c r="OJ95" s="17"/>
      <c r="OK95" s="17"/>
      <c r="OL95" s="17"/>
      <c r="OM95" s="17"/>
      <c r="ON95" s="17"/>
      <c r="OO95" s="17"/>
      <c r="OP95" s="17"/>
      <c r="OQ95" s="17"/>
      <c r="OR95" s="17"/>
      <c r="OS95" s="22">
        <v>1</v>
      </c>
      <c r="OT95" s="17"/>
      <c r="OU95" s="17"/>
      <c r="OV95" s="17"/>
      <c r="OW95" s="22">
        <v>1</v>
      </c>
      <c r="OX95" s="17"/>
      <c r="OY95" s="17"/>
      <c r="OZ95" s="17"/>
      <c r="PA95" s="22">
        <v>1</v>
      </c>
      <c r="PB95" s="17"/>
      <c r="PC95" s="17"/>
      <c r="PD95" s="17"/>
      <c r="PE95" s="17"/>
      <c r="PF95" s="17"/>
      <c r="PG95" s="17"/>
      <c r="PH95" s="22">
        <v>1</v>
      </c>
      <c r="PI95" s="17"/>
      <c r="PJ95" s="17"/>
      <c r="PK95" s="17"/>
      <c r="PL95" s="22">
        <v>1</v>
      </c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22" t="s">
        <v>506</v>
      </c>
      <c r="PX95" s="22" t="s">
        <v>506</v>
      </c>
      <c r="PY95" s="22" t="s">
        <v>507</v>
      </c>
      <c r="PZ95" s="22" t="s">
        <v>507</v>
      </c>
      <c r="QA95" s="22" t="s">
        <v>506</v>
      </c>
      <c r="QB95" s="22" t="s">
        <v>506</v>
      </c>
      <c r="QC95" s="22" t="s">
        <v>507</v>
      </c>
      <c r="QD95" s="22" t="s">
        <v>508</v>
      </c>
      <c r="QE95" s="22" t="s">
        <v>506</v>
      </c>
      <c r="QF95" s="22" t="s">
        <v>508</v>
      </c>
      <c r="QG95" s="22" t="s">
        <v>507</v>
      </c>
      <c r="QH95" s="22" t="s">
        <v>508</v>
      </c>
      <c r="QI95" s="22">
        <v>1</v>
      </c>
      <c r="QJ95" s="17"/>
      <c r="QK95" s="22">
        <v>1</v>
      </c>
      <c r="QL95" s="22">
        <v>1</v>
      </c>
      <c r="QM95" s="17"/>
      <c r="QN95" s="22">
        <v>1</v>
      </c>
      <c r="QO95" s="22">
        <v>1</v>
      </c>
      <c r="QP95" s="22">
        <v>1</v>
      </c>
      <c r="QQ95" s="22">
        <v>1</v>
      </c>
      <c r="QR95" s="22">
        <v>0</v>
      </c>
      <c r="QS95" s="22">
        <v>0</v>
      </c>
      <c r="QT95" s="22">
        <v>1</v>
      </c>
      <c r="QU95" s="22">
        <v>1</v>
      </c>
      <c r="QV95" s="22">
        <v>1</v>
      </c>
      <c r="QW95" s="22">
        <v>1</v>
      </c>
      <c r="QX95" s="22">
        <v>0</v>
      </c>
      <c r="QY95" s="22">
        <v>0</v>
      </c>
      <c r="QZ95" s="22">
        <v>1</v>
      </c>
      <c r="RA95" s="22">
        <v>1</v>
      </c>
      <c r="RB95" s="22">
        <v>1</v>
      </c>
      <c r="RC95" s="22">
        <v>1</v>
      </c>
      <c r="RD95" s="22">
        <v>1</v>
      </c>
      <c r="RE95" s="22">
        <v>1</v>
      </c>
      <c r="RF95" s="22">
        <v>1</v>
      </c>
      <c r="RG95" s="22">
        <v>1</v>
      </c>
      <c r="RH95" s="22">
        <v>1</v>
      </c>
      <c r="RI95" s="22">
        <v>1</v>
      </c>
      <c r="RJ95" s="22">
        <v>0</v>
      </c>
      <c r="RK95" s="22">
        <v>0</v>
      </c>
      <c r="RL95" s="22">
        <v>1</v>
      </c>
      <c r="RM95" s="22">
        <v>0</v>
      </c>
      <c r="RN95" s="22">
        <v>1</v>
      </c>
      <c r="RO95" s="22">
        <v>0</v>
      </c>
      <c r="RP95" s="22">
        <v>0</v>
      </c>
      <c r="RQ95" s="22">
        <v>1</v>
      </c>
      <c r="RR95" s="22">
        <v>1</v>
      </c>
      <c r="RS95" s="22">
        <v>0</v>
      </c>
      <c r="RT95" s="22">
        <v>1</v>
      </c>
      <c r="RU95" s="22">
        <v>1</v>
      </c>
      <c r="RV95" s="22">
        <v>0</v>
      </c>
      <c r="RW95" s="22">
        <v>1</v>
      </c>
      <c r="RX95" s="22">
        <v>1</v>
      </c>
      <c r="RY95" s="22">
        <v>0</v>
      </c>
      <c r="RZ95" s="22">
        <v>0</v>
      </c>
      <c r="SA95" s="22">
        <v>1</v>
      </c>
      <c r="SB95" s="22">
        <v>0</v>
      </c>
      <c r="SC95" s="22">
        <v>0</v>
      </c>
      <c r="SD95" s="22">
        <v>1</v>
      </c>
      <c r="SE95" s="22">
        <v>1</v>
      </c>
      <c r="SF95" s="22">
        <v>1</v>
      </c>
      <c r="SG95" s="22">
        <v>1</v>
      </c>
      <c r="SH95" s="22">
        <v>1</v>
      </c>
      <c r="SI95" s="22">
        <v>10097</v>
      </c>
      <c r="SJ95" s="19">
        <f t="shared" si="7"/>
        <v>102</v>
      </c>
      <c r="SK95" s="19">
        <f t="shared" si="8"/>
        <v>118</v>
      </c>
      <c r="SL95" s="19">
        <f t="shared" si="9"/>
        <v>16</v>
      </c>
      <c r="SM95" s="9">
        <v>10097</v>
      </c>
      <c r="SN95" s="9" t="s">
        <v>509</v>
      </c>
      <c r="SO95" s="10">
        <v>1</v>
      </c>
      <c r="SP95" s="9">
        <v>1</v>
      </c>
      <c r="SQ95" s="11" t="s">
        <v>517</v>
      </c>
      <c r="SR95" s="9">
        <v>18</v>
      </c>
      <c r="SS95" s="28">
        <v>63.5</v>
      </c>
      <c r="ST95" s="28">
        <v>16</v>
      </c>
      <c r="SU95" s="28">
        <v>45</v>
      </c>
      <c r="SV95" s="28">
        <v>0</v>
      </c>
      <c r="SW95" s="28">
        <v>9</v>
      </c>
      <c r="SX95" s="28">
        <v>16</v>
      </c>
      <c r="SY95" s="29">
        <v>37</v>
      </c>
      <c r="SZ95" s="30">
        <v>24</v>
      </c>
      <c r="TA95" s="31">
        <v>11</v>
      </c>
      <c r="TB95" s="31">
        <v>10</v>
      </c>
    </row>
    <row r="96" spans="1:522" ht="15.75" customHeight="1" x14ac:dyDescent="0.2">
      <c r="A96" s="22">
        <v>10098</v>
      </c>
      <c r="B96" s="22" t="s">
        <v>501</v>
      </c>
      <c r="C96" s="22" t="s">
        <v>502</v>
      </c>
      <c r="D96" s="22" t="s">
        <v>535</v>
      </c>
      <c r="E96" s="22" t="s">
        <v>504</v>
      </c>
      <c r="F96" s="23">
        <v>39140</v>
      </c>
      <c r="G96" s="23">
        <v>39694</v>
      </c>
      <c r="H96" s="14">
        <f t="shared" si="6"/>
        <v>18</v>
      </c>
      <c r="I96" s="22" t="s">
        <v>536</v>
      </c>
      <c r="J96" s="17"/>
      <c r="K96" s="17"/>
      <c r="L96" s="17"/>
      <c r="M96" s="22">
        <v>1</v>
      </c>
      <c r="N96" s="22">
        <v>1</v>
      </c>
      <c r="O96" s="17"/>
      <c r="P96" s="17"/>
      <c r="Q96" s="22">
        <v>1</v>
      </c>
      <c r="R96" s="22">
        <v>1</v>
      </c>
      <c r="S96" s="22">
        <v>1</v>
      </c>
      <c r="T96" s="22">
        <v>1</v>
      </c>
      <c r="U96" s="22">
        <v>1</v>
      </c>
      <c r="V96" s="17"/>
      <c r="W96" s="17"/>
      <c r="X96" s="17"/>
      <c r="Y96" s="22">
        <v>1</v>
      </c>
      <c r="Z96" s="22">
        <v>1</v>
      </c>
      <c r="AA96" s="22">
        <v>1</v>
      </c>
      <c r="AB96" s="22">
        <v>1</v>
      </c>
      <c r="AC96" s="17"/>
      <c r="AD96" s="17"/>
      <c r="AE96" s="17"/>
      <c r="AF96" s="17"/>
      <c r="AG96" s="22">
        <v>1</v>
      </c>
      <c r="AH96" s="22">
        <v>1</v>
      </c>
      <c r="AI96" s="22">
        <v>1</v>
      </c>
      <c r="AJ96" s="17"/>
      <c r="AK96" s="22">
        <v>1</v>
      </c>
      <c r="AL96" s="22">
        <v>1</v>
      </c>
      <c r="AM96" s="22">
        <v>1</v>
      </c>
      <c r="AN96" s="17"/>
      <c r="AO96" s="22" t="s">
        <v>508</v>
      </c>
      <c r="AP96" s="22" t="s">
        <v>508</v>
      </c>
      <c r="AQ96" s="17"/>
      <c r="AR96" s="22">
        <v>2</v>
      </c>
      <c r="AS96" s="17"/>
      <c r="AT96" s="22">
        <v>2</v>
      </c>
      <c r="AU96" s="22">
        <v>2</v>
      </c>
      <c r="AV96" s="17"/>
      <c r="AW96" s="22">
        <v>2</v>
      </c>
      <c r="AX96" s="17"/>
      <c r="AY96" s="22">
        <v>2</v>
      </c>
      <c r="AZ96" s="17"/>
      <c r="BA96" s="22">
        <v>2</v>
      </c>
      <c r="BB96" s="22">
        <v>2</v>
      </c>
      <c r="BC96" s="17"/>
      <c r="BD96" s="22">
        <v>1</v>
      </c>
      <c r="BE96" s="17"/>
      <c r="BF96" s="22">
        <v>2</v>
      </c>
      <c r="BG96" s="17"/>
      <c r="BH96" s="17"/>
      <c r="BI96" s="17"/>
      <c r="BJ96" s="22">
        <v>1</v>
      </c>
      <c r="BK96" s="17"/>
      <c r="BL96" s="17"/>
      <c r="BM96" s="17"/>
      <c r="BN96" s="22">
        <v>2</v>
      </c>
      <c r="BO96" s="17"/>
      <c r="BP96" s="22">
        <v>1</v>
      </c>
      <c r="BQ96" s="17"/>
      <c r="BR96" s="22">
        <v>2</v>
      </c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22">
        <v>1</v>
      </c>
      <c r="CN96" s="17"/>
      <c r="CO96" s="17"/>
      <c r="CP96" s="22">
        <v>1</v>
      </c>
      <c r="CQ96" s="22">
        <v>1</v>
      </c>
      <c r="CR96" s="17"/>
      <c r="CS96" s="22">
        <v>1</v>
      </c>
      <c r="CT96" s="22">
        <v>1</v>
      </c>
      <c r="CU96" s="17"/>
      <c r="CV96" s="22">
        <v>2</v>
      </c>
      <c r="CW96" s="17"/>
      <c r="CX96" s="17"/>
      <c r="CY96" s="22">
        <v>1</v>
      </c>
      <c r="CZ96" s="17"/>
      <c r="DA96" s="17"/>
      <c r="DB96" s="17"/>
      <c r="DC96" s="17"/>
      <c r="DD96" s="22">
        <v>2</v>
      </c>
      <c r="DE96" s="22">
        <v>1</v>
      </c>
      <c r="DF96" s="17"/>
      <c r="DG96" s="17"/>
      <c r="DH96" s="17"/>
      <c r="DI96" s="17"/>
      <c r="DJ96" s="17"/>
      <c r="DK96" s="17"/>
      <c r="DL96" s="22">
        <v>1</v>
      </c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22">
        <v>1</v>
      </c>
      <c r="DZ96" s="17"/>
      <c r="EA96" s="17"/>
      <c r="EB96" s="17"/>
      <c r="EC96" s="17"/>
      <c r="ED96" s="17"/>
      <c r="EE96" s="17"/>
      <c r="EF96" s="17"/>
      <c r="EG96" s="22">
        <v>1</v>
      </c>
      <c r="EH96" s="17"/>
      <c r="EI96" s="17"/>
      <c r="EJ96" s="17"/>
      <c r="EK96" s="17"/>
      <c r="EL96" s="17"/>
      <c r="EM96" s="22">
        <v>1</v>
      </c>
      <c r="EN96" s="17"/>
      <c r="EO96" s="22">
        <v>1</v>
      </c>
      <c r="EP96" s="17"/>
      <c r="EQ96" s="17"/>
      <c r="ER96" s="17"/>
      <c r="ES96" s="17"/>
      <c r="ET96" s="17"/>
      <c r="EU96" s="17"/>
      <c r="EV96" s="22">
        <v>1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22">
        <v>1</v>
      </c>
      <c r="FH96" s="17"/>
      <c r="FI96" s="22">
        <v>1</v>
      </c>
      <c r="FJ96" s="22">
        <v>1</v>
      </c>
      <c r="FK96" s="17"/>
      <c r="FL96" s="17"/>
      <c r="FM96" s="17"/>
      <c r="FN96" s="17"/>
      <c r="FO96" s="22">
        <v>1</v>
      </c>
      <c r="FP96" s="17"/>
      <c r="FQ96" s="17"/>
      <c r="FR96" s="22">
        <v>1</v>
      </c>
      <c r="FS96" s="17"/>
      <c r="FT96" s="22">
        <v>1</v>
      </c>
      <c r="FU96" s="22">
        <v>1</v>
      </c>
      <c r="FV96" s="22">
        <v>1</v>
      </c>
      <c r="FW96" s="17"/>
      <c r="FX96" s="17"/>
      <c r="FY96" s="17"/>
      <c r="FZ96" s="17"/>
      <c r="GA96" s="17"/>
      <c r="GB96" s="17"/>
      <c r="GC96" s="22">
        <v>2</v>
      </c>
      <c r="GD96" s="17"/>
      <c r="GE96" s="17"/>
      <c r="GF96" s="17"/>
      <c r="GG96" s="17"/>
      <c r="GH96" s="17"/>
      <c r="GI96" s="17"/>
      <c r="GJ96" s="17"/>
      <c r="GK96" s="22">
        <v>1</v>
      </c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22">
        <v>1</v>
      </c>
      <c r="GZ96" s="22">
        <v>1</v>
      </c>
      <c r="HA96" s="17"/>
      <c r="HB96" s="17"/>
      <c r="HC96" s="17"/>
      <c r="HD96" s="17"/>
      <c r="HE96" s="17"/>
      <c r="HF96" s="22">
        <v>2</v>
      </c>
      <c r="HG96" s="17"/>
      <c r="HH96" s="17"/>
      <c r="HI96" s="17"/>
      <c r="HJ96" s="17"/>
      <c r="HK96" s="22">
        <v>1</v>
      </c>
      <c r="HL96" s="22">
        <v>1</v>
      </c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22">
        <v>1</v>
      </c>
      <c r="HY96" s="17"/>
      <c r="HZ96" s="17"/>
      <c r="IA96" s="22">
        <v>1</v>
      </c>
      <c r="IB96" s="17"/>
      <c r="IC96" s="17"/>
      <c r="ID96" s="17"/>
      <c r="IE96" s="17"/>
      <c r="IF96" s="17"/>
      <c r="IG96" s="17"/>
      <c r="IH96" s="17"/>
      <c r="II96" s="17"/>
      <c r="IJ96" s="17"/>
      <c r="IK96" s="22">
        <v>1</v>
      </c>
      <c r="IL96" s="17"/>
      <c r="IM96" s="17"/>
      <c r="IN96" s="17"/>
      <c r="IO96" s="17"/>
      <c r="IP96" s="17"/>
      <c r="IQ96" s="17"/>
      <c r="IR96" s="17"/>
      <c r="IS96" s="17"/>
      <c r="IT96" s="22">
        <v>1</v>
      </c>
      <c r="IU96" s="17"/>
      <c r="IV96" s="17"/>
      <c r="IW96" s="17"/>
      <c r="IX96" s="17"/>
      <c r="IY96" s="22">
        <v>1</v>
      </c>
      <c r="IZ96" s="22">
        <v>1</v>
      </c>
      <c r="JA96" s="17"/>
      <c r="JB96" s="17"/>
      <c r="JC96" s="17"/>
      <c r="JD96" s="17"/>
      <c r="JE96" s="22">
        <v>1</v>
      </c>
      <c r="JF96" s="17"/>
      <c r="JG96" s="17"/>
      <c r="JH96" s="17"/>
      <c r="JI96" s="22">
        <v>1</v>
      </c>
      <c r="JJ96" s="17"/>
      <c r="JK96" s="22">
        <v>2</v>
      </c>
      <c r="JL96" s="17"/>
      <c r="JM96" s="22">
        <v>2</v>
      </c>
      <c r="JN96" s="22">
        <v>2</v>
      </c>
      <c r="JO96" s="17"/>
      <c r="JP96" s="17"/>
      <c r="JQ96" s="22">
        <v>2</v>
      </c>
      <c r="JR96" s="22">
        <v>1</v>
      </c>
      <c r="JS96" s="17"/>
      <c r="JT96" s="17"/>
      <c r="JU96" s="17"/>
      <c r="JV96" s="17"/>
      <c r="JW96" s="17"/>
      <c r="JX96" s="22">
        <v>2</v>
      </c>
      <c r="JY96" s="17"/>
      <c r="JZ96" s="22">
        <v>2</v>
      </c>
      <c r="KA96" s="17"/>
      <c r="KB96" s="17"/>
      <c r="KC96" s="22">
        <v>2</v>
      </c>
      <c r="KD96" s="22">
        <v>2</v>
      </c>
      <c r="KE96" s="17"/>
      <c r="KF96" s="22">
        <v>1</v>
      </c>
      <c r="KG96" s="17"/>
      <c r="KH96" s="22">
        <v>1</v>
      </c>
      <c r="KI96" s="17"/>
      <c r="KJ96" s="22">
        <v>2</v>
      </c>
      <c r="KK96" s="17"/>
      <c r="KL96" s="17"/>
      <c r="KM96" s="22">
        <v>2</v>
      </c>
      <c r="KN96" s="17"/>
      <c r="KO96" s="17"/>
      <c r="KP96" s="22">
        <v>2</v>
      </c>
      <c r="KQ96" s="17"/>
      <c r="KR96" s="17"/>
      <c r="KS96" s="17"/>
      <c r="KT96" s="22">
        <v>1</v>
      </c>
      <c r="KU96" s="17"/>
      <c r="KV96" s="17"/>
      <c r="KW96" s="17"/>
      <c r="KX96" s="17"/>
      <c r="KY96" s="22">
        <v>1</v>
      </c>
      <c r="KZ96" s="17"/>
      <c r="LA96" s="22">
        <v>1</v>
      </c>
      <c r="LB96" s="17"/>
      <c r="LC96" s="22">
        <v>1</v>
      </c>
      <c r="LD96" s="17"/>
      <c r="LE96" s="17"/>
      <c r="LF96" s="17"/>
      <c r="LG96" s="22">
        <v>1</v>
      </c>
      <c r="LH96" s="22">
        <v>1</v>
      </c>
      <c r="LI96" s="22">
        <v>1</v>
      </c>
      <c r="LJ96" s="17"/>
      <c r="LK96" s="22">
        <v>1</v>
      </c>
      <c r="LL96" s="22">
        <v>1</v>
      </c>
      <c r="LM96" s="17"/>
      <c r="LN96" s="22">
        <v>1</v>
      </c>
      <c r="LO96" s="17"/>
      <c r="LP96" s="22">
        <v>1</v>
      </c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22">
        <v>1</v>
      </c>
      <c r="MF96" s="17"/>
      <c r="MG96" s="17"/>
      <c r="MH96" s="17"/>
      <c r="MI96" s="22">
        <v>1</v>
      </c>
      <c r="MJ96" s="22">
        <v>1</v>
      </c>
      <c r="MK96" s="17"/>
      <c r="ML96" s="22">
        <v>1</v>
      </c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22">
        <v>1</v>
      </c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22">
        <v>1</v>
      </c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22">
        <v>2</v>
      </c>
      <c r="PR96" s="17"/>
      <c r="PS96" s="17"/>
      <c r="PT96" s="17"/>
      <c r="PU96" s="17"/>
      <c r="PV96" s="17"/>
      <c r="PW96" s="22" t="s">
        <v>506</v>
      </c>
      <c r="PX96" s="22" t="s">
        <v>506</v>
      </c>
      <c r="PY96" s="22" t="s">
        <v>506</v>
      </c>
      <c r="PZ96" s="22" t="s">
        <v>506</v>
      </c>
      <c r="QA96" s="22" t="s">
        <v>506</v>
      </c>
      <c r="QB96" s="22" t="s">
        <v>506</v>
      </c>
      <c r="QC96" s="22" t="s">
        <v>506</v>
      </c>
      <c r="QD96" s="22" t="s">
        <v>508</v>
      </c>
      <c r="QE96" s="22" t="s">
        <v>506</v>
      </c>
      <c r="QF96" s="22" t="s">
        <v>506</v>
      </c>
      <c r="QG96" s="22" t="s">
        <v>506</v>
      </c>
      <c r="QH96" s="17"/>
      <c r="QI96" s="22">
        <v>1</v>
      </c>
      <c r="QJ96" s="22">
        <v>0</v>
      </c>
      <c r="QK96" s="22">
        <v>0</v>
      </c>
      <c r="QL96" s="17"/>
      <c r="QM96" s="22">
        <v>1</v>
      </c>
      <c r="QN96" s="22">
        <v>1</v>
      </c>
      <c r="QO96" s="22">
        <v>1</v>
      </c>
      <c r="QP96" s="22">
        <v>1</v>
      </c>
      <c r="QQ96" s="22">
        <v>0</v>
      </c>
      <c r="QR96" s="22">
        <v>1</v>
      </c>
      <c r="QS96" s="22">
        <v>1</v>
      </c>
      <c r="QT96" s="22">
        <v>1</v>
      </c>
      <c r="QU96" s="22">
        <v>1</v>
      </c>
      <c r="QV96" s="22">
        <v>1</v>
      </c>
      <c r="QW96" s="22">
        <v>1</v>
      </c>
      <c r="QX96" s="22">
        <v>1</v>
      </c>
      <c r="QY96" s="22">
        <v>1</v>
      </c>
      <c r="QZ96" s="22">
        <v>1</v>
      </c>
      <c r="RA96" s="22">
        <v>0</v>
      </c>
      <c r="RB96" s="22">
        <v>1</v>
      </c>
      <c r="RC96" s="22">
        <v>1</v>
      </c>
      <c r="RD96" s="22">
        <v>1</v>
      </c>
      <c r="RE96" s="22">
        <v>1</v>
      </c>
      <c r="RF96" s="22">
        <v>0</v>
      </c>
      <c r="RG96" s="22">
        <v>0</v>
      </c>
      <c r="RH96" s="22">
        <v>0</v>
      </c>
      <c r="RI96" s="22">
        <v>0</v>
      </c>
      <c r="RJ96" s="22">
        <v>0</v>
      </c>
      <c r="RK96" s="22">
        <v>0</v>
      </c>
      <c r="RL96" s="22">
        <v>0</v>
      </c>
      <c r="RM96" s="22">
        <v>0</v>
      </c>
      <c r="RN96" s="22">
        <v>0</v>
      </c>
      <c r="RO96" s="22">
        <v>0</v>
      </c>
      <c r="RP96" s="22">
        <v>0</v>
      </c>
      <c r="RQ96" s="22">
        <v>0</v>
      </c>
      <c r="RR96" s="22">
        <v>0</v>
      </c>
      <c r="RS96" s="22">
        <v>1</v>
      </c>
      <c r="RT96" s="22">
        <v>1</v>
      </c>
      <c r="RU96" s="22">
        <v>1</v>
      </c>
      <c r="RV96" s="22">
        <v>0</v>
      </c>
      <c r="RW96" s="22">
        <v>1</v>
      </c>
      <c r="RX96" s="22">
        <v>1</v>
      </c>
      <c r="RY96" s="22">
        <v>1</v>
      </c>
      <c r="RZ96" s="22">
        <v>1</v>
      </c>
      <c r="SA96" s="22">
        <v>1</v>
      </c>
      <c r="SB96" s="22">
        <v>1</v>
      </c>
      <c r="SC96" s="22">
        <v>0</v>
      </c>
      <c r="SD96" s="22">
        <v>0</v>
      </c>
      <c r="SE96" s="22">
        <v>1</v>
      </c>
      <c r="SF96" s="22">
        <v>1</v>
      </c>
      <c r="SG96" s="22">
        <v>1</v>
      </c>
      <c r="SH96" s="22">
        <v>0</v>
      </c>
      <c r="SI96" s="22">
        <v>10098</v>
      </c>
      <c r="SJ96" s="19">
        <f t="shared" si="7"/>
        <v>57</v>
      </c>
      <c r="SK96" s="19">
        <f t="shared" si="8"/>
        <v>83</v>
      </c>
      <c r="SL96" s="19">
        <f t="shared" si="9"/>
        <v>26</v>
      </c>
      <c r="SM96" s="9">
        <v>10098</v>
      </c>
      <c r="SN96" s="9" t="s">
        <v>504</v>
      </c>
      <c r="SO96" s="10">
        <v>2</v>
      </c>
      <c r="SP96" s="9">
        <v>2</v>
      </c>
      <c r="SQ96" s="11" t="s">
        <v>517</v>
      </c>
      <c r="SR96" s="9">
        <v>16</v>
      </c>
      <c r="SS96" s="28">
        <v>53</v>
      </c>
      <c r="ST96" s="28">
        <v>16</v>
      </c>
      <c r="SU96" s="28">
        <v>30</v>
      </c>
      <c r="SV96" s="28">
        <v>0</v>
      </c>
      <c r="SW96" s="28">
        <v>13</v>
      </c>
      <c r="SX96" s="28">
        <v>27</v>
      </c>
      <c r="SY96" s="29">
        <v>41</v>
      </c>
      <c r="SZ96" s="30">
        <v>55</v>
      </c>
      <c r="TA96" s="31">
        <v>3</v>
      </c>
      <c r="TB96" s="31">
        <v>0</v>
      </c>
    </row>
    <row r="97" spans="1:522" ht="15.75" customHeight="1" x14ac:dyDescent="0.2">
      <c r="A97" s="22">
        <v>10099</v>
      </c>
      <c r="B97" s="22" t="s">
        <v>501</v>
      </c>
      <c r="C97" s="22" t="s">
        <v>502</v>
      </c>
      <c r="D97" s="22" t="s">
        <v>535</v>
      </c>
      <c r="E97" s="22" t="s">
        <v>504</v>
      </c>
      <c r="F97" s="23">
        <v>39147</v>
      </c>
      <c r="G97" s="23">
        <v>39702</v>
      </c>
      <c r="H97" s="14">
        <f t="shared" si="6"/>
        <v>18</v>
      </c>
      <c r="I97" s="22" t="s">
        <v>536</v>
      </c>
      <c r="J97" s="22">
        <v>1</v>
      </c>
      <c r="K97" s="22">
        <v>1</v>
      </c>
      <c r="L97" s="22">
        <v>1</v>
      </c>
      <c r="M97" s="22">
        <v>1</v>
      </c>
      <c r="N97" s="22">
        <v>1</v>
      </c>
      <c r="O97" s="22">
        <v>1</v>
      </c>
      <c r="P97" s="17"/>
      <c r="Q97" s="22">
        <v>1</v>
      </c>
      <c r="R97" s="22">
        <v>1</v>
      </c>
      <c r="S97" s="22">
        <v>1</v>
      </c>
      <c r="T97" s="22">
        <v>1</v>
      </c>
      <c r="U97" s="22">
        <v>1</v>
      </c>
      <c r="V97" s="17"/>
      <c r="W97" s="17"/>
      <c r="X97" s="22">
        <v>1</v>
      </c>
      <c r="Y97" s="22">
        <v>1</v>
      </c>
      <c r="Z97" s="22">
        <v>1</v>
      </c>
      <c r="AA97" s="22">
        <v>1</v>
      </c>
      <c r="AB97" s="22">
        <v>1</v>
      </c>
      <c r="AC97" s="17"/>
      <c r="AD97" s="17"/>
      <c r="AE97" s="17"/>
      <c r="AF97" s="22">
        <v>1</v>
      </c>
      <c r="AG97" s="22">
        <v>1</v>
      </c>
      <c r="AH97" s="22">
        <v>1</v>
      </c>
      <c r="AI97" s="22">
        <v>1</v>
      </c>
      <c r="AJ97" s="17"/>
      <c r="AK97" s="17"/>
      <c r="AL97" s="22">
        <v>1</v>
      </c>
      <c r="AM97" s="17"/>
      <c r="AN97" s="22">
        <v>1</v>
      </c>
      <c r="AO97" s="22" t="s">
        <v>507</v>
      </c>
      <c r="AP97" s="22" t="s">
        <v>508</v>
      </c>
      <c r="AQ97" s="17"/>
      <c r="AR97" s="17"/>
      <c r="AS97" s="17"/>
      <c r="AT97" s="17"/>
      <c r="AU97" s="17"/>
      <c r="AV97" s="17"/>
      <c r="AW97" s="17"/>
      <c r="AX97" s="17"/>
      <c r="AY97" s="22">
        <v>2</v>
      </c>
      <c r="AZ97" s="17"/>
      <c r="BA97" s="17"/>
      <c r="BB97" s="17"/>
      <c r="BC97" s="17"/>
      <c r="BD97" s="17"/>
      <c r="BE97" s="17"/>
      <c r="BF97" s="22">
        <v>2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22">
        <v>1</v>
      </c>
      <c r="CT97" s="17"/>
      <c r="CU97" s="17"/>
      <c r="CV97" s="22">
        <v>2</v>
      </c>
      <c r="CW97" s="22">
        <v>1</v>
      </c>
      <c r="CX97" s="17"/>
      <c r="CY97" s="22">
        <v>2</v>
      </c>
      <c r="CZ97" s="22">
        <v>1</v>
      </c>
      <c r="DA97" s="17"/>
      <c r="DB97" s="17"/>
      <c r="DC97" s="17"/>
      <c r="DD97" s="17"/>
      <c r="DE97" s="22">
        <v>1</v>
      </c>
      <c r="DF97" s="22">
        <v>1</v>
      </c>
      <c r="DG97" s="17"/>
      <c r="DH97" s="17"/>
      <c r="DI97" s="17"/>
      <c r="DJ97" s="17"/>
      <c r="DK97" s="22">
        <v>1</v>
      </c>
      <c r="DL97" s="22">
        <v>1</v>
      </c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22">
        <v>2</v>
      </c>
      <c r="DZ97" s="17"/>
      <c r="EA97" s="17"/>
      <c r="EB97" s="17"/>
      <c r="EC97" s="17"/>
      <c r="ED97" s="22">
        <v>1</v>
      </c>
      <c r="EE97" s="17"/>
      <c r="EF97" s="22">
        <v>1</v>
      </c>
      <c r="EG97" s="22">
        <v>2</v>
      </c>
      <c r="EH97" s="17"/>
      <c r="EI97" s="22">
        <v>1</v>
      </c>
      <c r="EJ97" s="17"/>
      <c r="EK97" s="17"/>
      <c r="EL97" s="17"/>
      <c r="EM97" s="22">
        <v>2</v>
      </c>
      <c r="EN97" s="17"/>
      <c r="EO97" s="22">
        <v>1</v>
      </c>
      <c r="EP97" s="17"/>
      <c r="EQ97" s="17"/>
      <c r="ER97" s="17"/>
      <c r="ES97" s="17"/>
      <c r="ET97" s="17"/>
      <c r="EU97" s="17"/>
      <c r="EV97" s="22">
        <v>2</v>
      </c>
      <c r="EW97" s="17"/>
      <c r="EX97" s="17"/>
      <c r="EY97" s="17"/>
      <c r="EZ97" s="17"/>
      <c r="FA97" s="17"/>
      <c r="FB97" s="22">
        <v>1</v>
      </c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22">
        <v>1</v>
      </c>
      <c r="FQ97" s="17"/>
      <c r="FR97" s="17"/>
      <c r="FS97" s="22">
        <v>1</v>
      </c>
      <c r="FT97" s="22">
        <v>1</v>
      </c>
      <c r="FU97" s="17"/>
      <c r="FV97" s="22">
        <v>2</v>
      </c>
      <c r="FW97" s="17"/>
      <c r="FX97" s="17"/>
      <c r="FY97" s="17"/>
      <c r="FZ97" s="17"/>
      <c r="GA97" s="22">
        <v>1</v>
      </c>
      <c r="GB97" s="17"/>
      <c r="GC97" s="22">
        <v>1</v>
      </c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22">
        <v>1</v>
      </c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22">
        <v>1</v>
      </c>
      <c r="HY97" s="17"/>
      <c r="HZ97" s="22">
        <v>1</v>
      </c>
      <c r="IA97" s="17"/>
      <c r="IB97" s="17"/>
      <c r="IC97" s="17"/>
      <c r="ID97" s="17"/>
      <c r="IE97" s="17"/>
      <c r="IF97" s="17"/>
      <c r="IG97" s="17"/>
      <c r="IH97" s="22">
        <v>1</v>
      </c>
      <c r="II97" s="17"/>
      <c r="IJ97" s="17"/>
      <c r="IK97" s="22">
        <v>1</v>
      </c>
      <c r="IL97" s="22">
        <v>1</v>
      </c>
      <c r="IM97" s="17"/>
      <c r="IN97" s="17"/>
      <c r="IO97" s="17"/>
      <c r="IP97" s="22">
        <v>1</v>
      </c>
      <c r="IQ97" s="17"/>
      <c r="IR97" s="17"/>
      <c r="IS97" s="17"/>
      <c r="IT97" s="17"/>
      <c r="IU97" s="17"/>
      <c r="IV97" s="17"/>
      <c r="IW97" s="17"/>
      <c r="IX97" s="17"/>
      <c r="IY97" s="22">
        <v>1</v>
      </c>
      <c r="IZ97" s="17"/>
      <c r="JA97" s="22">
        <v>2</v>
      </c>
      <c r="JB97" s="17"/>
      <c r="JC97" s="17"/>
      <c r="JD97" s="17"/>
      <c r="JE97" s="22">
        <v>2</v>
      </c>
      <c r="JF97" s="17"/>
      <c r="JG97" s="17"/>
      <c r="JH97" s="17"/>
      <c r="JI97" s="17"/>
      <c r="JJ97" s="17"/>
      <c r="JK97" s="22">
        <v>2</v>
      </c>
      <c r="JL97" s="17"/>
      <c r="JM97" s="17"/>
      <c r="JN97" s="17"/>
      <c r="JO97" s="17"/>
      <c r="JP97" s="17"/>
      <c r="JQ97" s="22">
        <v>2</v>
      </c>
      <c r="JR97" s="22">
        <v>1</v>
      </c>
      <c r="JS97" s="17"/>
      <c r="JT97" s="17"/>
      <c r="JU97" s="17"/>
      <c r="JV97" s="22">
        <v>1</v>
      </c>
      <c r="JW97" s="17"/>
      <c r="JX97" s="22">
        <v>2</v>
      </c>
      <c r="JY97" s="22">
        <v>1</v>
      </c>
      <c r="JZ97" s="22">
        <v>2</v>
      </c>
      <c r="KA97" s="17"/>
      <c r="KB97" s="17"/>
      <c r="KC97" s="22">
        <v>1</v>
      </c>
      <c r="KD97" s="22">
        <v>1</v>
      </c>
      <c r="KE97" s="17"/>
      <c r="KF97" s="17"/>
      <c r="KG97" s="17"/>
      <c r="KH97" s="22">
        <v>2</v>
      </c>
      <c r="KI97" s="17"/>
      <c r="KJ97" s="17"/>
      <c r="KK97" s="22">
        <v>1</v>
      </c>
      <c r="KL97" s="22">
        <v>1</v>
      </c>
      <c r="KM97" s="22">
        <v>1</v>
      </c>
      <c r="KN97" s="22">
        <v>1</v>
      </c>
      <c r="KO97" s="17"/>
      <c r="KP97" s="17"/>
      <c r="KQ97" s="22">
        <v>1</v>
      </c>
      <c r="KR97" s="22">
        <v>1</v>
      </c>
      <c r="KS97" s="17"/>
      <c r="KT97" s="22">
        <v>1</v>
      </c>
      <c r="KU97" s="17"/>
      <c r="KV97" s="17"/>
      <c r="KW97" s="17"/>
      <c r="KX97" s="17"/>
      <c r="KY97" s="22">
        <v>1</v>
      </c>
      <c r="KZ97" s="22">
        <v>1</v>
      </c>
      <c r="LA97" s="22">
        <v>1</v>
      </c>
      <c r="LB97" s="17"/>
      <c r="LC97" s="22">
        <v>1</v>
      </c>
      <c r="LD97" s="22">
        <v>1</v>
      </c>
      <c r="LE97" s="17"/>
      <c r="LF97" s="17"/>
      <c r="LG97" s="22">
        <v>1</v>
      </c>
      <c r="LH97" s="22">
        <v>1</v>
      </c>
      <c r="LI97" s="22">
        <v>1</v>
      </c>
      <c r="LJ97" s="22">
        <v>1</v>
      </c>
      <c r="LK97" s="22">
        <v>1</v>
      </c>
      <c r="LL97" s="22">
        <v>1</v>
      </c>
      <c r="LM97" s="22">
        <v>1</v>
      </c>
      <c r="LN97" s="17"/>
      <c r="LO97" s="17"/>
      <c r="LP97" s="22">
        <v>1</v>
      </c>
      <c r="LQ97" s="22">
        <v>1</v>
      </c>
      <c r="LR97" s="17"/>
      <c r="LS97" s="22">
        <v>1</v>
      </c>
      <c r="LT97" s="22">
        <v>1</v>
      </c>
      <c r="LU97" s="17"/>
      <c r="LV97" s="17"/>
      <c r="LW97" s="22">
        <v>1</v>
      </c>
      <c r="LX97" s="22">
        <v>1</v>
      </c>
      <c r="LY97" s="22">
        <v>1</v>
      </c>
      <c r="LZ97" s="22">
        <v>1</v>
      </c>
      <c r="MA97" s="17"/>
      <c r="MB97" s="17"/>
      <c r="MC97" s="22">
        <v>1</v>
      </c>
      <c r="MD97" s="22">
        <v>1</v>
      </c>
      <c r="ME97" s="22">
        <v>1</v>
      </c>
      <c r="MF97" s="17"/>
      <c r="MG97" s="22">
        <v>1</v>
      </c>
      <c r="MH97" s="22">
        <v>1</v>
      </c>
      <c r="MI97" s="17"/>
      <c r="MJ97" s="22">
        <v>1</v>
      </c>
      <c r="MK97" s="22">
        <v>1</v>
      </c>
      <c r="ML97" s="22">
        <v>1</v>
      </c>
      <c r="MM97" s="17"/>
      <c r="MN97" s="22">
        <v>1</v>
      </c>
      <c r="MO97" s="22">
        <v>1</v>
      </c>
      <c r="MP97" s="22">
        <v>1</v>
      </c>
      <c r="MQ97" s="22">
        <v>1</v>
      </c>
      <c r="MR97" s="22">
        <v>1</v>
      </c>
      <c r="MS97" s="17"/>
      <c r="MT97" s="17"/>
      <c r="MU97" s="17"/>
      <c r="MV97" s="17"/>
      <c r="MW97" s="17"/>
      <c r="MX97" s="22">
        <v>1</v>
      </c>
      <c r="MY97" s="17"/>
      <c r="MZ97" s="17"/>
      <c r="NA97" s="17"/>
      <c r="NB97" s="22">
        <v>2</v>
      </c>
      <c r="NC97" s="17"/>
      <c r="ND97" s="17"/>
      <c r="NE97" s="17"/>
      <c r="NF97" s="17"/>
      <c r="NG97" s="22">
        <v>1</v>
      </c>
      <c r="NH97" s="22">
        <v>1</v>
      </c>
      <c r="NI97" s="17"/>
      <c r="NJ97" s="22">
        <v>1</v>
      </c>
      <c r="NK97" s="17"/>
      <c r="NL97" s="17"/>
      <c r="NM97" s="17"/>
      <c r="NN97" s="17"/>
      <c r="NO97" s="17"/>
      <c r="NP97" s="17"/>
      <c r="NQ97" s="17"/>
      <c r="NR97" s="22">
        <v>1</v>
      </c>
      <c r="NS97" s="22">
        <v>1</v>
      </c>
      <c r="NT97" s="22">
        <v>1</v>
      </c>
      <c r="NU97" s="17"/>
      <c r="NV97" s="22">
        <v>1</v>
      </c>
      <c r="NW97" s="22">
        <v>1</v>
      </c>
      <c r="NX97" s="22">
        <v>1</v>
      </c>
      <c r="NY97" s="17"/>
      <c r="NZ97" s="17"/>
      <c r="OA97" s="17"/>
      <c r="OB97" s="17"/>
      <c r="OC97" s="17"/>
      <c r="OD97" s="17"/>
      <c r="OE97" s="17"/>
      <c r="OF97" s="17"/>
      <c r="OG97" s="22">
        <v>1</v>
      </c>
      <c r="OH97" s="22">
        <v>1</v>
      </c>
      <c r="OI97" s="17"/>
      <c r="OJ97" s="22">
        <v>1</v>
      </c>
      <c r="OK97" s="17"/>
      <c r="OL97" s="22">
        <v>1</v>
      </c>
      <c r="OM97" s="17"/>
      <c r="ON97" s="17"/>
      <c r="OO97" s="17"/>
      <c r="OP97" s="17"/>
      <c r="OQ97" s="17"/>
      <c r="OR97" s="17"/>
      <c r="OS97" s="17"/>
      <c r="OT97" s="22">
        <v>2</v>
      </c>
      <c r="OU97" s="17"/>
      <c r="OV97" s="17"/>
      <c r="OW97" s="17"/>
      <c r="OX97" s="17"/>
      <c r="OY97" s="22">
        <v>2</v>
      </c>
      <c r="OZ97" s="17"/>
      <c r="PA97" s="22">
        <v>2</v>
      </c>
      <c r="PB97" s="17"/>
      <c r="PC97" s="17"/>
      <c r="PD97" s="22">
        <v>1</v>
      </c>
      <c r="PE97" s="17"/>
      <c r="PF97" s="22">
        <v>1</v>
      </c>
      <c r="PG97" s="22">
        <v>1</v>
      </c>
      <c r="PH97" s="17"/>
      <c r="PI97" s="22">
        <v>1</v>
      </c>
      <c r="PJ97" s="22">
        <v>1</v>
      </c>
      <c r="PK97" s="17"/>
      <c r="PL97" s="17"/>
      <c r="PM97" s="17"/>
      <c r="PN97" s="22">
        <v>1</v>
      </c>
      <c r="PO97" s="17"/>
      <c r="PP97" s="17"/>
      <c r="PQ97" s="22">
        <v>2</v>
      </c>
      <c r="PR97" s="17"/>
      <c r="PS97" s="17"/>
      <c r="PT97" s="17"/>
      <c r="PU97" s="17"/>
      <c r="PV97" s="17"/>
      <c r="PW97" s="17"/>
      <c r="PX97" s="22" t="s">
        <v>506</v>
      </c>
      <c r="PY97" s="22" t="s">
        <v>506</v>
      </c>
      <c r="PZ97" s="22" t="s">
        <v>508</v>
      </c>
      <c r="QA97" s="22" t="s">
        <v>506</v>
      </c>
      <c r="QB97" s="17"/>
      <c r="QC97" s="22" t="s">
        <v>508</v>
      </c>
      <c r="QD97" s="22" t="s">
        <v>508</v>
      </c>
      <c r="QE97" s="22" t="s">
        <v>506</v>
      </c>
      <c r="QF97" s="22" t="s">
        <v>508</v>
      </c>
      <c r="QG97" s="22" t="s">
        <v>506</v>
      </c>
      <c r="QH97" s="17"/>
      <c r="QI97" s="22">
        <v>1</v>
      </c>
      <c r="QJ97" s="22">
        <v>0</v>
      </c>
      <c r="QK97" s="22">
        <v>0</v>
      </c>
      <c r="QL97" s="22">
        <v>1</v>
      </c>
      <c r="QM97" s="22">
        <v>1</v>
      </c>
      <c r="QN97" s="22">
        <v>1</v>
      </c>
      <c r="QO97" s="22">
        <v>1</v>
      </c>
      <c r="QP97" s="22">
        <v>1</v>
      </c>
      <c r="QQ97" s="22">
        <v>1</v>
      </c>
      <c r="QR97" s="22">
        <v>0</v>
      </c>
      <c r="QS97" s="22">
        <v>1</v>
      </c>
      <c r="QT97" s="22">
        <v>1</v>
      </c>
      <c r="QU97" s="22">
        <v>1</v>
      </c>
      <c r="QV97" s="22">
        <v>1</v>
      </c>
      <c r="QW97" s="22">
        <v>1</v>
      </c>
      <c r="QX97" s="22">
        <v>1</v>
      </c>
      <c r="QY97" s="22">
        <v>0</v>
      </c>
      <c r="QZ97" s="22">
        <v>1</v>
      </c>
      <c r="RA97" s="22">
        <v>0</v>
      </c>
      <c r="RB97" s="22">
        <v>1</v>
      </c>
      <c r="RC97" s="22">
        <v>1</v>
      </c>
      <c r="RD97" s="22">
        <v>0</v>
      </c>
      <c r="RE97" s="22">
        <v>0</v>
      </c>
      <c r="RF97" s="22">
        <v>0</v>
      </c>
      <c r="RG97" s="22">
        <v>0</v>
      </c>
      <c r="RH97" s="22">
        <v>1</v>
      </c>
      <c r="RI97" s="22">
        <v>0</v>
      </c>
      <c r="RJ97" s="22">
        <v>1</v>
      </c>
      <c r="RK97" s="22">
        <v>0</v>
      </c>
      <c r="RL97" s="22">
        <v>1</v>
      </c>
      <c r="RM97" s="22">
        <v>0</v>
      </c>
      <c r="RN97" s="22">
        <v>1</v>
      </c>
      <c r="RO97" s="22">
        <v>0</v>
      </c>
      <c r="RP97" s="22">
        <v>0</v>
      </c>
      <c r="RQ97" s="22">
        <v>0</v>
      </c>
      <c r="RR97" s="22">
        <v>0</v>
      </c>
      <c r="RS97" s="22">
        <v>1</v>
      </c>
      <c r="RT97" s="22">
        <v>1</v>
      </c>
      <c r="RU97" s="22">
        <v>1</v>
      </c>
      <c r="RV97" s="22">
        <v>0</v>
      </c>
      <c r="RW97" s="22">
        <v>0</v>
      </c>
      <c r="RX97" s="22">
        <v>1</v>
      </c>
      <c r="RY97" s="22">
        <v>1</v>
      </c>
      <c r="RZ97" s="22">
        <v>1</v>
      </c>
      <c r="SA97" s="22">
        <v>1</v>
      </c>
      <c r="SB97" s="22">
        <v>1</v>
      </c>
      <c r="SC97" s="22">
        <v>1</v>
      </c>
      <c r="SD97" s="22">
        <v>1</v>
      </c>
      <c r="SE97" s="22">
        <v>1</v>
      </c>
      <c r="SF97" s="22">
        <v>1</v>
      </c>
      <c r="SG97" s="22">
        <v>1</v>
      </c>
      <c r="SH97" s="22">
        <v>0</v>
      </c>
      <c r="SI97" s="22">
        <v>10099</v>
      </c>
      <c r="SJ97" s="19">
        <f t="shared" si="7"/>
        <v>90</v>
      </c>
      <c r="SK97" s="19">
        <f t="shared" si="8"/>
        <v>111</v>
      </c>
      <c r="SL97" s="19">
        <f t="shared" si="9"/>
        <v>21</v>
      </c>
      <c r="SM97" s="9">
        <v>10099</v>
      </c>
      <c r="SN97" s="9" t="s">
        <v>504</v>
      </c>
      <c r="SO97" s="10">
        <v>2</v>
      </c>
      <c r="SP97" s="9">
        <v>2</v>
      </c>
      <c r="SQ97" s="11" t="s">
        <v>517</v>
      </c>
      <c r="SR97" s="9">
        <v>18</v>
      </c>
      <c r="SS97" s="28">
        <v>58.5</v>
      </c>
      <c r="ST97" s="28">
        <v>16</v>
      </c>
      <c r="SU97" s="28">
        <v>45</v>
      </c>
      <c r="SV97" s="28">
        <v>0</v>
      </c>
      <c r="SW97" s="28">
        <v>10</v>
      </c>
      <c r="SX97" s="28">
        <v>22</v>
      </c>
      <c r="SY97" s="29">
        <v>35</v>
      </c>
      <c r="SZ97" s="30">
        <v>28</v>
      </c>
      <c r="TA97" s="31">
        <v>17</v>
      </c>
      <c r="TB97" s="31">
        <v>28</v>
      </c>
    </row>
    <row r="98" spans="1:522" ht="15.75" customHeight="1" x14ac:dyDescent="0.2">
      <c r="A98" s="22">
        <v>10100</v>
      </c>
      <c r="B98" s="22" t="s">
        <v>501</v>
      </c>
      <c r="C98" s="22" t="s">
        <v>502</v>
      </c>
      <c r="D98" s="22" t="s">
        <v>535</v>
      </c>
      <c r="E98" s="22" t="s">
        <v>509</v>
      </c>
      <c r="F98" s="23">
        <v>39090</v>
      </c>
      <c r="G98" s="23">
        <v>39665</v>
      </c>
      <c r="H98" s="14">
        <f t="shared" si="6"/>
        <v>18</v>
      </c>
      <c r="I98" s="22" t="s">
        <v>536</v>
      </c>
      <c r="J98" s="22">
        <v>1</v>
      </c>
      <c r="K98" s="22">
        <v>1</v>
      </c>
      <c r="L98" s="22">
        <v>1</v>
      </c>
      <c r="M98" s="22">
        <v>1</v>
      </c>
      <c r="N98" s="22">
        <v>1</v>
      </c>
      <c r="O98" s="22">
        <v>1</v>
      </c>
      <c r="P98" s="22">
        <v>1</v>
      </c>
      <c r="Q98" s="22">
        <v>1</v>
      </c>
      <c r="R98" s="22">
        <v>1</v>
      </c>
      <c r="S98" s="22">
        <v>1</v>
      </c>
      <c r="T98" s="22">
        <v>1</v>
      </c>
      <c r="U98" s="22">
        <v>1</v>
      </c>
      <c r="V98" s="22">
        <v>1</v>
      </c>
      <c r="W98" s="22">
        <v>1</v>
      </c>
      <c r="X98" s="22">
        <v>1</v>
      </c>
      <c r="Y98" s="22">
        <v>1</v>
      </c>
      <c r="Z98" s="22">
        <v>1</v>
      </c>
      <c r="AA98" s="22">
        <v>1</v>
      </c>
      <c r="AB98" s="22">
        <v>1</v>
      </c>
      <c r="AC98" s="17"/>
      <c r="AD98" s="17"/>
      <c r="AE98" s="22">
        <v>1</v>
      </c>
      <c r="AF98" s="22">
        <v>1</v>
      </c>
      <c r="AG98" s="22">
        <v>1</v>
      </c>
      <c r="AH98" s="22">
        <v>1</v>
      </c>
      <c r="AI98" s="17"/>
      <c r="AJ98" s="17"/>
      <c r="AK98" s="17"/>
      <c r="AL98" s="17"/>
      <c r="AM98" s="22">
        <v>1</v>
      </c>
      <c r="AN98" s="17"/>
      <c r="AO98" s="22" t="s">
        <v>507</v>
      </c>
      <c r="AP98" s="22" t="s">
        <v>507</v>
      </c>
      <c r="AQ98" s="22">
        <v>2</v>
      </c>
      <c r="AR98" s="22">
        <v>1</v>
      </c>
      <c r="AS98" s="22">
        <v>1</v>
      </c>
      <c r="AT98" s="22">
        <v>2</v>
      </c>
      <c r="AU98" s="22">
        <v>1</v>
      </c>
      <c r="AV98" s="22">
        <v>2</v>
      </c>
      <c r="AW98" s="22">
        <v>2</v>
      </c>
      <c r="AX98" s="22">
        <v>1</v>
      </c>
      <c r="AY98" s="22">
        <v>2</v>
      </c>
      <c r="AZ98" s="22">
        <v>1</v>
      </c>
      <c r="BA98" s="22">
        <v>1</v>
      </c>
      <c r="BB98" s="22">
        <v>1</v>
      </c>
      <c r="BC98" s="22">
        <v>1</v>
      </c>
      <c r="BD98" s="22">
        <v>1</v>
      </c>
      <c r="BE98" s="22">
        <v>2</v>
      </c>
      <c r="BF98" s="22">
        <v>2</v>
      </c>
      <c r="BG98" s="22">
        <v>1</v>
      </c>
      <c r="BH98" s="22">
        <v>1</v>
      </c>
      <c r="BI98" s="22">
        <v>1</v>
      </c>
      <c r="BJ98" s="22">
        <v>1</v>
      </c>
      <c r="BK98" s="17"/>
      <c r="BL98" s="22">
        <v>1</v>
      </c>
      <c r="BM98" s="17"/>
      <c r="BN98" s="22">
        <v>1</v>
      </c>
      <c r="BO98" s="17"/>
      <c r="BP98" s="22">
        <v>1</v>
      </c>
      <c r="BQ98" s="22">
        <v>1</v>
      </c>
      <c r="BR98" s="22">
        <v>1</v>
      </c>
      <c r="BS98" s="22">
        <v>1</v>
      </c>
      <c r="BT98" s="22">
        <v>1</v>
      </c>
      <c r="BU98" s="17"/>
      <c r="BV98" s="22">
        <v>1</v>
      </c>
      <c r="BW98" s="22">
        <v>1</v>
      </c>
      <c r="BX98" s="22">
        <v>1</v>
      </c>
      <c r="BY98" s="22">
        <v>1</v>
      </c>
      <c r="BZ98" s="22">
        <v>1</v>
      </c>
      <c r="CA98" s="22">
        <v>1</v>
      </c>
      <c r="CB98" s="17"/>
      <c r="CC98" s="17"/>
      <c r="CD98" s="22">
        <v>1</v>
      </c>
      <c r="CE98" s="17"/>
      <c r="CF98" s="22">
        <v>1</v>
      </c>
      <c r="CG98" s="22">
        <v>1</v>
      </c>
      <c r="CH98" s="22">
        <v>1</v>
      </c>
      <c r="CI98" s="22">
        <v>1</v>
      </c>
      <c r="CJ98" s="22">
        <v>1</v>
      </c>
      <c r="CK98" s="17"/>
      <c r="CL98" s="17"/>
      <c r="CM98" s="22">
        <v>1</v>
      </c>
      <c r="CN98" s="22">
        <v>1</v>
      </c>
      <c r="CO98" s="22">
        <v>1</v>
      </c>
      <c r="CP98" s="22">
        <v>1</v>
      </c>
      <c r="CQ98" s="17"/>
      <c r="CR98" s="22">
        <v>1</v>
      </c>
      <c r="CS98" s="22">
        <v>1</v>
      </c>
      <c r="CT98" s="22">
        <v>1</v>
      </c>
      <c r="CU98" s="17"/>
      <c r="CV98" s="22">
        <v>2</v>
      </c>
      <c r="CW98" s="22">
        <v>1</v>
      </c>
      <c r="CX98" s="22">
        <v>1</v>
      </c>
      <c r="CY98" s="22">
        <v>1</v>
      </c>
      <c r="CZ98" s="22">
        <v>2</v>
      </c>
      <c r="DA98" s="22">
        <v>1</v>
      </c>
      <c r="DB98" s="17"/>
      <c r="DC98" s="22">
        <v>1</v>
      </c>
      <c r="DD98" s="17"/>
      <c r="DE98" s="22">
        <v>1</v>
      </c>
      <c r="DF98" s="17"/>
      <c r="DG98" s="17"/>
      <c r="DH98" s="17"/>
      <c r="DI98" s="17"/>
      <c r="DJ98" s="17"/>
      <c r="DK98" s="17"/>
      <c r="DL98" s="22">
        <v>1</v>
      </c>
      <c r="DM98" s="22">
        <v>2</v>
      </c>
      <c r="DN98" s="17"/>
      <c r="DO98" s="17"/>
      <c r="DP98" s="22">
        <v>1</v>
      </c>
      <c r="DQ98" s="22">
        <v>1</v>
      </c>
      <c r="DR98" s="22">
        <v>1</v>
      </c>
      <c r="DS98" s="17"/>
      <c r="DT98" s="22">
        <v>1</v>
      </c>
      <c r="DU98" s="22">
        <v>1</v>
      </c>
      <c r="DV98" s="22">
        <v>1</v>
      </c>
      <c r="DW98" s="17"/>
      <c r="DX98" s="17"/>
      <c r="DY98" s="22">
        <v>1</v>
      </c>
      <c r="DZ98" s="17"/>
      <c r="EA98" s="17"/>
      <c r="EB98" s="22">
        <v>2</v>
      </c>
      <c r="EC98" s="17"/>
      <c r="ED98" s="17"/>
      <c r="EE98" s="22">
        <v>1</v>
      </c>
      <c r="EF98" s="22">
        <v>1</v>
      </c>
      <c r="EG98" s="22">
        <v>1</v>
      </c>
      <c r="EH98" s="17"/>
      <c r="EI98" s="22">
        <v>1</v>
      </c>
      <c r="EJ98" s="22">
        <v>1</v>
      </c>
      <c r="EK98" s="17"/>
      <c r="EL98" s="17"/>
      <c r="EM98" s="22">
        <v>1</v>
      </c>
      <c r="EN98" s="17"/>
      <c r="EO98" s="22">
        <v>1</v>
      </c>
      <c r="EP98" s="17"/>
      <c r="EQ98" s="17"/>
      <c r="ER98" s="17"/>
      <c r="ES98" s="17"/>
      <c r="ET98" s="22">
        <v>1</v>
      </c>
      <c r="EU98" s="17"/>
      <c r="EV98" s="22">
        <v>1</v>
      </c>
      <c r="EW98" s="17"/>
      <c r="EX98" s="22">
        <v>1</v>
      </c>
      <c r="EY98" s="17"/>
      <c r="EZ98" s="17"/>
      <c r="FA98" s="17"/>
      <c r="FB98" s="17"/>
      <c r="FC98" s="17"/>
      <c r="FD98" s="22">
        <v>1</v>
      </c>
      <c r="FE98" s="22">
        <v>1</v>
      </c>
      <c r="FF98" s="17"/>
      <c r="FG98" s="22">
        <v>1</v>
      </c>
      <c r="FH98" s="17"/>
      <c r="FI98" s="22">
        <v>1</v>
      </c>
      <c r="FJ98" s="22">
        <v>1</v>
      </c>
      <c r="FK98" s="22">
        <v>1</v>
      </c>
      <c r="FL98" s="17"/>
      <c r="FM98" s="17"/>
      <c r="FN98" s="22">
        <v>1</v>
      </c>
      <c r="FO98" s="22">
        <v>1</v>
      </c>
      <c r="FP98" s="17"/>
      <c r="FQ98" s="22">
        <v>1</v>
      </c>
      <c r="FR98" s="17"/>
      <c r="FS98" s="17"/>
      <c r="FT98" s="17"/>
      <c r="FU98" s="22">
        <v>1</v>
      </c>
      <c r="FV98" s="22">
        <v>1</v>
      </c>
      <c r="FW98" s="17"/>
      <c r="FX98" s="17"/>
      <c r="FY98" s="17"/>
      <c r="FZ98" s="22">
        <v>1</v>
      </c>
      <c r="GA98" s="17"/>
      <c r="GB98" s="17"/>
      <c r="GC98" s="22">
        <v>1</v>
      </c>
      <c r="GD98" s="17"/>
      <c r="GE98" s="17"/>
      <c r="GF98" s="17"/>
      <c r="GG98" s="22">
        <v>1</v>
      </c>
      <c r="GH98" s="17"/>
      <c r="GI98" s="17"/>
      <c r="GJ98" s="17"/>
      <c r="GK98" s="22">
        <v>1</v>
      </c>
      <c r="GL98" s="22">
        <v>1</v>
      </c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22">
        <v>1</v>
      </c>
      <c r="GZ98" s="22">
        <v>1</v>
      </c>
      <c r="HA98" s="17"/>
      <c r="HB98" s="17"/>
      <c r="HC98" s="17"/>
      <c r="HD98" s="17"/>
      <c r="HE98" s="22">
        <v>1</v>
      </c>
      <c r="HF98" s="22">
        <v>1</v>
      </c>
      <c r="HG98" s="22">
        <v>1</v>
      </c>
      <c r="HH98" s="17"/>
      <c r="HI98" s="22">
        <v>1</v>
      </c>
      <c r="HJ98" s="17"/>
      <c r="HK98" s="22">
        <v>1</v>
      </c>
      <c r="HL98" s="22">
        <v>1</v>
      </c>
      <c r="HM98" s="17"/>
      <c r="HN98" s="17"/>
      <c r="HO98" s="22">
        <v>1</v>
      </c>
      <c r="HP98" s="17"/>
      <c r="HQ98" s="17"/>
      <c r="HR98" s="17"/>
      <c r="HS98" s="17"/>
      <c r="HT98" s="22">
        <v>1</v>
      </c>
      <c r="HU98" s="17"/>
      <c r="HV98" s="17"/>
      <c r="HW98" s="17"/>
      <c r="HX98" s="17"/>
      <c r="HY98" s="17"/>
      <c r="HZ98" s="22">
        <v>1</v>
      </c>
      <c r="IA98" s="17"/>
      <c r="IB98" s="17"/>
      <c r="IC98" s="17"/>
      <c r="ID98" s="17"/>
      <c r="IE98" s="17"/>
      <c r="IF98" s="22">
        <v>1</v>
      </c>
      <c r="IG98" s="17"/>
      <c r="IH98" s="22">
        <v>1</v>
      </c>
      <c r="II98" s="17"/>
      <c r="IJ98" s="22">
        <v>1</v>
      </c>
      <c r="IK98" s="22">
        <v>1</v>
      </c>
      <c r="IL98" s="22">
        <v>1</v>
      </c>
      <c r="IM98" s="17"/>
      <c r="IN98" s="17"/>
      <c r="IO98" s="17"/>
      <c r="IP98" s="17"/>
      <c r="IQ98" s="17"/>
      <c r="IR98" s="17"/>
      <c r="IS98" s="17"/>
      <c r="IT98" s="22">
        <v>1</v>
      </c>
      <c r="IU98" s="17"/>
      <c r="IV98" s="17"/>
      <c r="IW98" s="17"/>
      <c r="IX98" s="17"/>
      <c r="IY98" s="22">
        <v>1</v>
      </c>
      <c r="IZ98" s="17"/>
      <c r="JA98" s="17"/>
      <c r="JB98" s="17"/>
      <c r="JC98" s="17"/>
      <c r="JD98" s="17"/>
      <c r="JE98" s="22">
        <v>2</v>
      </c>
      <c r="JF98" s="17"/>
      <c r="JG98" s="17"/>
      <c r="JH98" s="17"/>
      <c r="JI98" s="17"/>
      <c r="JJ98" s="17"/>
      <c r="JK98" s="22">
        <v>2</v>
      </c>
      <c r="JL98" s="17"/>
      <c r="JM98" s="22">
        <v>2</v>
      </c>
      <c r="JN98" s="22">
        <v>2</v>
      </c>
      <c r="JO98" s="17"/>
      <c r="JP98" s="17"/>
      <c r="JQ98" s="22">
        <v>2</v>
      </c>
      <c r="JR98" s="22">
        <v>2</v>
      </c>
      <c r="JS98" s="17"/>
      <c r="JT98" s="17"/>
      <c r="JU98" s="17"/>
      <c r="JV98" s="17"/>
      <c r="JW98" s="17"/>
      <c r="JX98" s="22">
        <v>1</v>
      </c>
      <c r="JY98" s="22">
        <v>1</v>
      </c>
      <c r="JZ98" s="22">
        <v>2</v>
      </c>
      <c r="KA98" s="22">
        <v>1</v>
      </c>
      <c r="KB98" s="22">
        <v>1</v>
      </c>
      <c r="KC98" s="17"/>
      <c r="KD98" s="22">
        <v>1</v>
      </c>
      <c r="KE98" s="17"/>
      <c r="KF98" s="22">
        <v>1</v>
      </c>
      <c r="KG98" s="22">
        <v>2</v>
      </c>
      <c r="KH98" s="22">
        <v>2</v>
      </c>
      <c r="KI98" s="22">
        <v>1</v>
      </c>
      <c r="KJ98" s="22">
        <v>1</v>
      </c>
      <c r="KK98" s="17"/>
      <c r="KL98" s="22">
        <v>1</v>
      </c>
      <c r="KM98" s="17"/>
      <c r="KN98" s="17"/>
      <c r="KO98" s="17"/>
      <c r="KP98" s="22">
        <v>1</v>
      </c>
      <c r="KQ98" s="17"/>
      <c r="KR98" s="17"/>
      <c r="KS98" s="17"/>
      <c r="KT98" s="17"/>
      <c r="KU98" s="17"/>
      <c r="KV98" s="17"/>
      <c r="KW98" s="17"/>
      <c r="KX98" s="22">
        <v>1</v>
      </c>
      <c r="KY98" s="22">
        <v>1</v>
      </c>
      <c r="KZ98" s="22">
        <v>1</v>
      </c>
      <c r="LA98" s="22">
        <v>1</v>
      </c>
      <c r="LB98" s="22">
        <v>1</v>
      </c>
      <c r="LC98" s="22">
        <v>1</v>
      </c>
      <c r="LD98" s="22">
        <v>1</v>
      </c>
      <c r="LE98" s="17"/>
      <c r="LF98" s="17"/>
      <c r="LG98" s="17"/>
      <c r="LH98" s="22">
        <v>1</v>
      </c>
      <c r="LI98" s="22">
        <v>1</v>
      </c>
      <c r="LJ98" s="17"/>
      <c r="LK98" s="17"/>
      <c r="LL98" s="22">
        <v>1</v>
      </c>
      <c r="LM98" s="17"/>
      <c r="LN98" s="17"/>
      <c r="LO98" s="17"/>
      <c r="LP98" s="22">
        <v>1</v>
      </c>
      <c r="LQ98" s="22">
        <v>1</v>
      </c>
      <c r="LR98" s="17"/>
      <c r="LS98" s="22">
        <v>1</v>
      </c>
      <c r="LT98" s="17"/>
      <c r="LU98" s="17"/>
      <c r="LV98" s="17"/>
      <c r="LW98" s="17"/>
      <c r="LX98" s="17"/>
      <c r="LY98" s="17"/>
      <c r="LZ98" s="22">
        <v>1</v>
      </c>
      <c r="MA98" s="17"/>
      <c r="MB98" s="17"/>
      <c r="MC98" s="22">
        <v>1</v>
      </c>
      <c r="MD98" s="17"/>
      <c r="ME98" s="22">
        <v>1</v>
      </c>
      <c r="MF98" s="17"/>
      <c r="MG98" s="17"/>
      <c r="MH98" s="22">
        <v>1</v>
      </c>
      <c r="MI98" s="17"/>
      <c r="MJ98" s="22">
        <v>1</v>
      </c>
      <c r="MK98" s="17"/>
      <c r="ML98" s="22">
        <v>1</v>
      </c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22">
        <v>1</v>
      </c>
      <c r="MX98" s="17"/>
      <c r="MY98" s="17"/>
      <c r="MZ98" s="17"/>
      <c r="NA98" s="17"/>
      <c r="NB98" s="22">
        <v>1</v>
      </c>
      <c r="NC98" s="22">
        <v>1</v>
      </c>
      <c r="ND98" s="17"/>
      <c r="NE98" s="17"/>
      <c r="NF98" s="17"/>
      <c r="NG98" s="17"/>
      <c r="NH98" s="22">
        <v>1</v>
      </c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22">
        <v>1</v>
      </c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22">
        <v>1</v>
      </c>
      <c r="OP98" s="17"/>
      <c r="OQ98" s="22">
        <v>1</v>
      </c>
      <c r="OR98" s="17"/>
      <c r="OS98" s="17"/>
      <c r="OT98" s="17"/>
      <c r="OU98" s="17"/>
      <c r="OV98" s="17"/>
      <c r="OW98" s="17"/>
      <c r="OX98" s="17"/>
      <c r="OY98" s="17"/>
      <c r="OZ98" s="17"/>
      <c r="PA98" s="22">
        <v>1</v>
      </c>
      <c r="PB98" s="17"/>
      <c r="PC98" s="17"/>
      <c r="PD98" s="17"/>
      <c r="PE98" s="17"/>
      <c r="PF98" s="22">
        <v>1</v>
      </c>
      <c r="PG98" s="17"/>
      <c r="PH98" s="17"/>
      <c r="PI98" s="22">
        <v>1</v>
      </c>
      <c r="PJ98" s="22">
        <v>1</v>
      </c>
      <c r="PK98" s="17"/>
      <c r="PL98" s="17"/>
      <c r="PM98" s="17"/>
      <c r="PN98" s="22">
        <v>1</v>
      </c>
      <c r="PO98" s="17"/>
      <c r="PP98" s="17"/>
      <c r="PQ98" s="22">
        <v>1</v>
      </c>
      <c r="PR98" s="17"/>
      <c r="PS98" s="17"/>
      <c r="PT98" s="17"/>
      <c r="PU98" s="17"/>
      <c r="PV98" s="17"/>
      <c r="PW98" s="22" t="s">
        <v>506</v>
      </c>
      <c r="PX98" s="22" t="s">
        <v>506</v>
      </c>
      <c r="PY98" s="22" t="s">
        <v>506</v>
      </c>
      <c r="PZ98" s="22" t="s">
        <v>506</v>
      </c>
      <c r="QA98" s="22" t="s">
        <v>506</v>
      </c>
      <c r="QB98" s="17"/>
      <c r="QC98" s="22" t="s">
        <v>507</v>
      </c>
      <c r="QD98" s="22" t="s">
        <v>508</v>
      </c>
      <c r="QE98" s="22" t="s">
        <v>508</v>
      </c>
      <c r="QF98" s="22" t="s">
        <v>506</v>
      </c>
      <c r="QG98" s="22" t="s">
        <v>507</v>
      </c>
      <c r="QH98" s="22" t="s">
        <v>508</v>
      </c>
      <c r="QI98" s="22">
        <v>1</v>
      </c>
      <c r="QJ98" s="22">
        <v>1</v>
      </c>
      <c r="QK98" s="22">
        <v>0</v>
      </c>
      <c r="QL98" s="22">
        <v>1</v>
      </c>
      <c r="QM98" s="22">
        <v>0</v>
      </c>
      <c r="QN98" s="22">
        <v>1</v>
      </c>
      <c r="QO98" s="22">
        <v>1</v>
      </c>
      <c r="QP98" s="22">
        <v>1</v>
      </c>
      <c r="QQ98" s="22">
        <v>1</v>
      </c>
      <c r="QR98" s="22">
        <v>1</v>
      </c>
      <c r="QS98" s="22">
        <v>1</v>
      </c>
      <c r="QT98" s="22">
        <v>1</v>
      </c>
      <c r="QU98" s="22">
        <v>0</v>
      </c>
      <c r="QV98" s="22">
        <v>0</v>
      </c>
      <c r="QW98" s="22">
        <v>0</v>
      </c>
      <c r="QX98" s="22">
        <v>1</v>
      </c>
      <c r="QY98" s="22">
        <v>0</v>
      </c>
      <c r="QZ98" s="22">
        <v>1</v>
      </c>
      <c r="RA98" s="22">
        <v>1</v>
      </c>
      <c r="RB98" s="22">
        <v>0</v>
      </c>
      <c r="RC98" s="22">
        <v>1</v>
      </c>
      <c r="RD98" s="22">
        <v>1</v>
      </c>
      <c r="RE98" s="22">
        <v>1</v>
      </c>
      <c r="RF98" s="22">
        <v>0</v>
      </c>
      <c r="RG98" s="22">
        <v>0</v>
      </c>
      <c r="RH98" s="22">
        <v>1</v>
      </c>
      <c r="RI98" s="22">
        <v>1</v>
      </c>
      <c r="RJ98" s="22">
        <v>1</v>
      </c>
      <c r="RK98" s="22">
        <v>1</v>
      </c>
      <c r="RL98" s="22">
        <v>1</v>
      </c>
      <c r="RM98" s="22">
        <v>1</v>
      </c>
      <c r="RN98" s="22">
        <v>1</v>
      </c>
      <c r="RO98" s="22">
        <v>1</v>
      </c>
      <c r="RP98" s="22">
        <v>0</v>
      </c>
      <c r="RQ98" s="17"/>
      <c r="RR98" s="22">
        <v>0</v>
      </c>
      <c r="RS98" s="22">
        <v>1</v>
      </c>
      <c r="RT98" s="22">
        <v>1</v>
      </c>
      <c r="RU98" s="22">
        <v>0</v>
      </c>
      <c r="RV98" s="17"/>
      <c r="RW98" s="22">
        <v>0</v>
      </c>
      <c r="RX98" s="22">
        <v>1</v>
      </c>
      <c r="RY98" s="22">
        <v>0</v>
      </c>
      <c r="RZ98" s="22">
        <v>0</v>
      </c>
      <c r="SA98" s="22">
        <v>1</v>
      </c>
      <c r="SB98" s="22">
        <v>1</v>
      </c>
      <c r="SC98" s="22">
        <v>0</v>
      </c>
      <c r="SD98" s="22">
        <v>0</v>
      </c>
      <c r="SE98" s="22">
        <v>1</v>
      </c>
      <c r="SF98" s="22">
        <v>1</v>
      </c>
      <c r="SG98" s="22">
        <v>1</v>
      </c>
      <c r="SH98" s="22">
        <v>1</v>
      </c>
      <c r="SI98" s="22">
        <v>10100</v>
      </c>
      <c r="SJ98" s="19">
        <f t="shared" si="7"/>
        <v>139</v>
      </c>
      <c r="SK98" s="19">
        <f t="shared" si="8"/>
        <v>159</v>
      </c>
      <c r="SL98" s="19">
        <f t="shared" si="9"/>
        <v>20</v>
      </c>
      <c r="SM98" s="9">
        <v>10100</v>
      </c>
      <c r="SN98" s="9" t="s">
        <v>509</v>
      </c>
      <c r="SO98" s="10">
        <v>1</v>
      </c>
      <c r="SP98" s="9">
        <v>1</v>
      </c>
      <c r="SQ98" s="11" t="s">
        <v>517</v>
      </c>
      <c r="SR98" s="9">
        <v>18</v>
      </c>
      <c r="SS98" s="28">
        <v>57</v>
      </c>
      <c r="ST98" s="28">
        <v>16</v>
      </c>
      <c r="SU98" s="28">
        <v>92</v>
      </c>
      <c r="SV98" s="28">
        <v>14</v>
      </c>
      <c r="SW98" s="28">
        <v>3</v>
      </c>
      <c r="SX98" s="28">
        <v>8</v>
      </c>
      <c r="SY98" s="29">
        <v>39</v>
      </c>
      <c r="SZ98" s="30">
        <v>30</v>
      </c>
      <c r="TA98" s="31">
        <v>23</v>
      </c>
      <c r="TB98" s="31">
        <v>50</v>
      </c>
    </row>
    <row r="99" spans="1:522" ht="15.75" customHeight="1" x14ac:dyDescent="0.2">
      <c r="A99" s="22">
        <v>10101</v>
      </c>
      <c r="B99" s="22" t="s">
        <v>501</v>
      </c>
      <c r="C99" s="22" t="s">
        <v>502</v>
      </c>
      <c r="D99" s="22" t="s">
        <v>535</v>
      </c>
      <c r="E99" s="22" t="s">
        <v>504</v>
      </c>
      <c r="F99" s="23">
        <v>39157</v>
      </c>
      <c r="G99" s="23">
        <v>39720</v>
      </c>
      <c r="H99" s="14">
        <f t="shared" si="6"/>
        <v>18</v>
      </c>
      <c r="I99" s="22" t="s">
        <v>536</v>
      </c>
      <c r="J99" s="22">
        <v>1</v>
      </c>
      <c r="K99" s="22">
        <v>1</v>
      </c>
      <c r="L99" s="22">
        <v>1</v>
      </c>
      <c r="M99" s="22">
        <v>1</v>
      </c>
      <c r="N99" s="22">
        <v>1</v>
      </c>
      <c r="O99" s="17"/>
      <c r="P99" s="17"/>
      <c r="Q99" s="22">
        <v>1</v>
      </c>
      <c r="R99" s="17"/>
      <c r="S99" s="17"/>
      <c r="T99" s="22">
        <v>1</v>
      </c>
      <c r="U99" s="22">
        <v>1</v>
      </c>
      <c r="V99" s="17"/>
      <c r="W99" s="17"/>
      <c r="X99" s="17"/>
      <c r="Y99" s="22">
        <v>1</v>
      </c>
      <c r="Z99" s="17"/>
      <c r="AA99" s="22">
        <v>1</v>
      </c>
      <c r="AB99" s="17"/>
      <c r="AC99" s="17"/>
      <c r="AD99" s="17"/>
      <c r="AE99" s="22">
        <v>1</v>
      </c>
      <c r="AF99" s="22">
        <v>1</v>
      </c>
      <c r="AG99" s="17"/>
      <c r="AH99" s="22">
        <v>1</v>
      </c>
      <c r="AI99" s="17"/>
      <c r="AJ99" s="17"/>
      <c r="AK99" s="17"/>
      <c r="AL99" s="17"/>
      <c r="AM99" s="17"/>
      <c r="AN99" s="17"/>
      <c r="AO99" s="22" t="s">
        <v>507</v>
      </c>
      <c r="AP99" s="22" t="s">
        <v>508</v>
      </c>
      <c r="AQ99" s="17"/>
      <c r="AR99" s="17"/>
      <c r="AS99" s="17"/>
      <c r="AT99" s="17"/>
      <c r="AU99" s="22">
        <v>1</v>
      </c>
      <c r="AV99" s="17"/>
      <c r="AW99" s="17"/>
      <c r="AX99" s="22">
        <v>1</v>
      </c>
      <c r="AY99" s="17"/>
      <c r="AZ99" s="22">
        <v>2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22">
        <v>1</v>
      </c>
      <c r="BK99" s="17"/>
      <c r="BL99" s="17"/>
      <c r="BM99" s="17"/>
      <c r="BN99" s="17"/>
      <c r="BO99" s="17"/>
      <c r="BP99" s="22">
        <v>2</v>
      </c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22">
        <v>1</v>
      </c>
      <c r="CN99" s="17"/>
      <c r="CO99" s="17"/>
      <c r="CP99" s="22">
        <v>1</v>
      </c>
      <c r="CQ99" s="17"/>
      <c r="CR99" s="22">
        <v>1</v>
      </c>
      <c r="CS99" s="17"/>
      <c r="CT99" s="17"/>
      <c r="CU99" s="17"/>
      <c r="CV99" s="17"/>
      <c r="CW99" s="22">
        <v>1</v>
      </c>
      <c r="CX99" s="17"/>
      <c r="CY99" s="22">
        <v>1</v>
      </c>
      <c r="CZ99" s="22">
        <v>1</v>
      </c>
      <c r="DA99" s="17"/>
      <c r="DB99" s="17"/>
      <c r="DC99" s="17"/>
      <c r="DD99" s="22">
        <v>1</v>
      </c>
      <c r="DE99" s="22">
        <v>1</v>
      </c>
      <c r="DF99" s="17"/>
      <c r="DG99" s="17"/>
      <c r="DH99" s="17"/>
      <c r="DI99" s="17"/>
      <c r="DJ99" s="17"/>
      <c r="DK99" s="22">
        <v>1</v>
      </c>
      <c r="DL99" s="22">
        <v>1</v>
      </c>
      <c r="DM99" s="22">
        <v>1</v>
      </c>
      <c r="DN99" s="17"/>
      <c r="DO99" s="17"/>
      <c r="DP99" s="17"/>
      <c r="DQ99" s="22">
        <v>1</v>
      </c>
      <c r="DR99" s="22">
        <v>1</v>
      </c>
      <c r="DS99" s="17"/>
      <c r="DT99" s="17"/>
      <c r="DU99" s="17"/>
      <c r="DV99" s="22">
        <v>1</v>
      </c>
      <c r="DW99" s="17"/>
      <c r="DX99" s="17"/>
      <c r="DY99" s="22">
        <v>1</v>
      </c>
      <c r="DZ99" s="17"/>
      <c r="EA99" s="17"/>
      <c r="EB99" s="17"/>
      <c r="EC99" s="17"/>
      <c r="ED99" s="22">
        <v>1</v>
      </c>
      <c r="EE99" s="17"/>
      <c r="EF99" s="17"/>
      <c r="EG99" s="22">
        <v>1</v>
      </c>
      <c r="EH99" s="17"/>
      <c r="EI99" s="17"/>
      <c r="EJ99" s="17"/>
      <c r="EK99" s="17"/>
      <c r="EL99" s="17"/>
      <c r="EM99" s="22">
        <v>1</v>
      </c>
      <c r="EN99" s="17"/>
      <c r="EO99" s="22">
        <v>2</v>
      </c>
      <c r="EP99" s="17"/>
      <c r="EQ99" s="17"/>
      <c r="ER99" s="22">
        <v>1</v>
      </c>
      <c r="ES99" s="17"/>
      <c r="ET99" s="17"/>
      <c r="EU99" s="17"/>
      <c r="EV99" s="22">
        <v>1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22">
        <v>2</v>
      </c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22">
        <v>1</v>
      </c>
      <c r="HG99" s="17"/>
      <c r="HH99" s="17"/>
      <c r="HI99" s="17"/>
      <c r="HJ99" s="17"/>
      <c r="HK99" s="17"/>
      <c r="HL99" s="17"/>
      <c r="HM99" s="17"/>
      <c r="HN99" s="17"/>
      <c r="HO99" s="17"/>
      <c r="HP99" s="22">
        <v>1</v>
      </c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22">
        <v>1</v>
      </c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22">
        <v>1</v>
      </c>
      <c r="IM99" s="17"/>
      <c r="IN99" s="17"/>
      <c r="IO99" s="17"/>
      <c r="IP99" s="17"/>
      <c r="IQ99" s="22">
        <v>1</v>
      </c>
      <c r="IR99" s="17"/>
      <c r="IS99" s="17"/>
      <c r="IT99" s="22">
        <v>1</v>
      </c>
      <c r="IU99" s="17"/>
      <c r="IV99" s="17"/>
      <c r="IW99" s="17"/>
      <c r="IX99" s="17"/>
      <c r="IY99" s="22">
        <v>1</v>
      </c>
      <c r="IZ99" s="17"/>
      <c r="JA99" s="22">
        <v>1</v>
      </c>
      <c r="JB99" s="17"/>
      <c r="JC99" s="17"/>
      <c r="JD99" s="17"/>
      <c r="JE99" s="17"/>
      <c r="JF99" s="17"/>
      <c r="JG99" s="17"/>
      <c r="JH99" s="17"/>
      <c r="JI99" s="17"/>
      <c r="JJ99" s="17"/>
      <c r="JK99" s="22">
        <v>2</v>
      </c>
      <c r="JL99" s="17"/>
      <c r="JM99" s="22">
        <v>2</v>
      </c>
      <c r="JN99" s="22">
        <v>1</v>
      </c>
      <c r="JO99" s="17"/>
      <c r="JP99" s="17"/>
      <c r="JQ99" s="22">
        <v>2</v>
      </c>
      <c r="JR99" s="22">
        <v>1</v>
      </c>
      <c r="JS99" s="17"/>
      <c r="JT99" s="17"/>
      <c r="JU99" s="17"/>
      <c r="JV99" s="17"/>
      <c r="JW99" s="17"/>
      <c r="JX99" s="22">
        <v>1</v>
      </c>
      <c r="JY99" s="17"/>
      <c r="JZ99" s="22">
        <v>2</v>
      </c>
      <c r="KA99" s="17"/>
      <c r="KB99" s="17"/>
      <c r="KC99" s="22">
        <v>2</v>
      </c>
      <c r="KD99" s="17"/>
      <c r="KE99" s="17"/>
      <c r="KF99" s="22">
        <v>1</v>
      </c>
      <c r="KG99" s="17"/>
      <c r="KH99" s="17"/>
      <c r="KI99" s="17"/>
      <c r="KJ99" s="22">
        <v>2</v>
      </c>
      <c r="KK99" s="17"/>
      <c r="KL99" s="17"/>
      <c r="KM99" s="17"/>
      <c r="KN99" s="17"/>
      <c r="KO99" s="22">
        <v>2</v>
      </c>
      <c r="KP99" s="17"/>
      <c r="KQ99" s="17"/>
      <c r="KR99" s="17"/>
      <c r="KS99" s="17"/>
      <c r="KT99" s="17"/>
      <c r="KU99" s="17"/>
      <c r="KV99" s="17"/>
      <c r="KW99" s="17"/>
      <c r="KX99" s="17"/>
      <c r="KY99" s="22">
        <v>1</v>
      </c>
      <c r="KZ99" s="17"/>
      <c r="LA99" s="22">
        <v>1</v>
      </c>
      <c r="LB99" s="17"/>
      <c r="LC99" s="22">
        <v>1</v>
      </c>
      <c r="LD99" s="17"/>
      <c r="LE99" s="17"/>
      <c r="LF99" s="22">
        <v>1</v>
      </c>
      <c r="LG99" s="17"/>
      <c r="LH99" s="22">
        <v>1</v>
      </c>
      <c r="LI99" s="17"/>
      <c r="LJ99" s="17"/>
      <c r="LK99" s="17"/>
      <c r="LL99" s="17"/>
      <c r="LM99" s="17"/>
      <c r="LN99" s="17"/>
      <c r="LO99" s="17"/>
      <c r="LP99" s="22">
        <v>1</v>
      </c>
      <c r="LQ99" s="17"/>
      <c r="LR99" s="17"/>
      <c r="LS99" s="17"/>
      <c r="LT99" s="17"/>
      <c r="LU99" s="17"/>
      <c r="LV99" s="17"/>
      <c r="LW99" s="17"/>
      <c r="LX99" s="22">
        <v>1</v>
      </c>
      <c r="LY99" s="22">
        <v>1</v>
      </c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22">
        <v>1</v>
      </c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22">
        <v>1</v>
      </c>
      <c r="NP99" s="17"/>
      <c r="NQ99" s="17"/>
      <c r="NR99" s="22">
        <v>1</v>
      </c>
      <c r="NS99" s="17"/>
      <c r="NT99" s="17"/>
      <c r="NU99" s="17"/>
      <c r="NV99" s="17"/>
      <c r="NW99" s="22">
        <v>1</v>
      </c>
      <c r="NX99" s="17"/>
      <c r="NY99" s="17"/>
      <c r="NZ99" s="17"/>
      <c r="OA99" s="17"/>
      <c r="OB99" s="17"/>
      <c r="OC99" s="17"/>
      <c r="OD99" s="17"/>
      <c r="OE99" s="17"/>
      <c r="OF99" s="17"/>
      <c r="OG99" s="22">
        <v>1</v>
      </c>
      <c r="OH99" s="22">
        <v>1</v>
      </c>
      <c r="OI99" s="17"/>
      <c r="OJ99" s="17"/>
      <c r="OK99" s="17"/>
      <c r="OL99" s="17"/>
      <c r="OM99" s="17"/>
      <c r="ON99" s="17"/>
      <c r="OO99" s="17"/>
      <c r="OP99" s="17"/>
      <c r="OQ99" s="22">
        <v>2</v>
      </c>
      <c r="OR99" s="17"/>
      <c r="OS99" s="17"/>
      <c r="OT99" s="17"/>
      <c r="OU99" s="22">
        <v>2</v>
      </c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22">
        <v>1</v>
      </c>
      <c r="PG99" s="17"/>
      <c r="PH99" s="22">
        <v>1</v>
      </c>
      <c r="PI99" s="17"/>
      <c r="PJ99" s="17"/>
      <c r="PK99" s="17"/>
      <c r="PL99" s="17"/>
      <c r="PM99" s="17"/>
      <c r="PN99" s="22">
        <v>1</v>
      </c>
      <c r="PO99" s="17"/>
      <c r="PP99" s="17"/>
      <c r="PQ99" s="22">
        <v>2</v>
      </c>
      <c r="PR99" s="17"/>
      <c r="PS99" s="17"/>
      <c r="PT99" s="17"/>
      <c r="PU99" s="17"/>
      <c r="PV99" s="17"/>
      <c r="PW99" s="17"/>
      <c r="PX99" s="22" t="s">
        <v>507</v>
      </c>
      <c r="PY99" s="22" t="s">
        <v>507</v>
      </c>
      <c r="PZ99" s="22" t="s">
        <v>506</v>
      </c>
      <c r="QA99" s="22" t="s">
        <v>507</v>
      </c>
      <c r="QB99" s="17"/>
      <c r="QC99" s="22" t="s">
        <v>507</v>
      </c>
      <c r="QD99" s="22" t="s">
        <v>508</v>
      </c>
      <c r="QE99" s="22" t="s">
        <v>508</v>
      </c>
      <c r="QF99" s="22" t="s">
        <v>508</v>
      </c>
      <c r="QG99" s="22" t="s">
        <v>508</v>
      </c>
      <c r="QH99" s="22" t="s">
        <v>508</v>
      </c>
      <c r="QI99" s="22">
        <v>1</v>
      </c>
      <c r="QJ99" s="22">
        <v>1</v>
      </c>
      <c r="QK99" s="22">
        <v>0</v>
      </c>
      <c r="QL99" s="22">
        <v>1</v>
      </c>
      <c r="QM99" s="22">
        <v>1</v>
      </c>
      <c r="QN99" s="22">
        <v>1</v>
      </c>
      <c r="QO99" s="22">
        <v>1</v>
      </c>
      <c r="QP99" s="22">
        <v>1</v>
      </c>
      <c r="QQ99" s="22">
        <v>1</v>
      </c>
      <c r="QR99" s="22">
        <v>1</v>
      </c>
      <c r="QS99" s="22">
        <v>1</v>
      </c>
      <c r="QT99" s="22">
        <v>1</v>
      </c>
      <c r="QU99" s="22">
        <v>1</v>
      </c>
      <c r="QV99" s="22">
        <v>1</v>
      </c>
      <c r="QW99" s="22">
        <v>0</v>
      </c>
      <c r="QX99" s="22">
        <v>0</v>
      </c>
      <c r="QY99" s="22">
        <v>0</v>
      </c>
      <c r="QZ99" s="22">
        <v>1</v>
      </c>
      <c r="RA99" s="22">
        <v>0</v>
      </c>
      <c r="RB99" s="22">
        <v>1</v>
      </c>
      <c r="RC99" s="22">
        <v>1</v>
      </c>
      <c r="RD99" s="22">
        <v>0</v>
      </c>
      <c r="RE99" s="22">
        <v>0</v>
      </c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22">
        <v>0</v>
      </c>
      <c r="RT99" s="22">
        <v>1</v>
      </c>
      <c r="RU99" s="22">
        <v>1</v>
      </c>
      <c r="RV99" s="22">
        <v>0</v>
      </c>
      <c r="RW99" s="22">
        <v>1</v>
      </c>
      <c r="RX99" s="22">
        <v>1</v>
      </c>
      <c r="RY99" s="22">
        <v>0</v>
      </c>
      <c r="RZ99" s="22">
        <v>0</v>
      </c>
      <c r="SA99" s="22">
        <v>1</v>
      </c>
      <c r="SB99" s="22">
        <v>0</v>
      </c>
      <c r="SC99" s="22">
        <v>0</v>
      </c>
      <c r="SD99" s="22">
        <v>0</v>
      </c>
      <c r="SE99" s="22">
        <v>1</v>
      </c>
      <c r="SF99" s="22">
        <v>1</v>
      </c>
      <c r="SG99" s="22">
        <v>1</v>
      </c>
      <c r="SH99" s="22">
        <v>1</v>
      </c>
      <c r="SI99" s="22">
        <v>10101</v>
      </c>
      <c r="SJ99" s="19">
        <f t="shared" si="7"/>
        <v>52</v>
      </c>
      <c r="SK99" s="19">
        <f t="shared" si="8"/>
        <v>66</v>
      </c>
      <c r="SL99" s="19">
        <f t="shared" si="9"/>
        <v>14</v>
      </c>
      <c r="SM99" s="9">
        <v>10101</v>
      </c>
      <c r="SN99" s="9" t="s">
        <v>504</v>
      </c>
      <c r="SO99" s="10">
        <v>2</v>
      </c>
      <c r="SP99" s="9">
        <v>2</v>
      </c>
      <c r="SQ99" s="11" t="s">
        <v>517</v>
      </c>
      <c r="SR99" s="9">
        <v>16</v>
      </c>
      <c r="SS99" s="28">
        <v>61</v>
      </c>
      <c r="ST99" s="28">
        <v>16</v>
      </c>
      <c r="SU99" s="28">
        <v>39</v>
      </c>
      <c r="SV99" s="28">
        <v>0</v>
      </c>
      <c r="SW99" s="28">
        <v>1</v>
      </c>
      <c r="SX99" s="28">
        <v>5</v>
      </c>
      <c r="SY99" s="29">
        <v>27</v>
      </c>
      <c r="SZ99" s="30">
        <v>10</v>
      </c>
      <c r="TA99" s="31">
        <v>0</v>
      </c>
      <c r="TB99" s="31">
        <v>0</v>
      </c>
    </row>
    <row r="100" spans="1:522" ht="15.75" customHeight="1" x14ac:dyDescent="0.2">
      <c r="A100" s="22">
        <v>10102</v>
      </c>
      <c r="B100" s="22" t="s">
        <v>501</v>
      </c>
      <c r="C100" s="22" t="s">
        <v>502</v>
      </c>
      <c r="D100" s="22" t="s">
        <v>535</v>
      </c>
      <c r="E100" s="22" t="s">
        <v>509</v>
      </c>
      <c r="F100" s="23">
        <v>39185</v>
      </c>
      <c r="G100" s="23">
        <v>39748</v>
      </c>
      <c r="H100" s="14">
        <f t="shared" si="6"/>
        <v>18</v>
      </c>
      <c r="I100" s="22" t="s">
        <v>537</v>
      </c>
      <c r="J100" s="22">
        <v>1</v>
      </c>
      <c r="K100" s="22">
        <v>1</v>
      </c>
      <c r="L100" s="22">
        <v>1</v>
      </c>
      <c r="M100" s="22">
        <v>1</v>
      </c>
      <c r="N100" s="17"/>
      <c r="O100" s="17"/>
      <c r="P100" s="17"/>
      <c r="Q100" s="22">
        <v>1</v>
      </c>
      <c r="R100" s="22">
        <v>1</v>
      </c>
      <c r="S100" s="22">
        <v>1</v>
      </c>
      <c r="T100" s="22">
        <v>1</v>
      </c>
      <c r="U100" s="22">
        <v>1</v>
      </c>
      <c r="V100" s="22">
        <v>1</v>
      </c>
      <c r="W100" s="17"/>
      <c r="X100" s="22">
        <v>1</v>
      </c>
      <c r="Y100" s="22">
        <v>1</v>
      </c>
      <c r="Z100" s="22">
        <v>1</v>
      </c>
      <c r="AA100" s="22">
        <v>1</v>
      </c>
      <c r="AB100" s="22">
        <v>1</v>
      </c>
      <c r="AC100" s="17"/>
      <c r="AD100" s="17"/>
      <c r="AE100" s="22">
        <v>1</v>
      </c>
      <c r="AF100" s="22">
        <v>1</v>
      </c>
      <c r="AG100" s="22">
        <v>1</v>
      </c>
      <c r="AH100" s="22">
        <v>1</v>
      </c>
      <c r="AI100" s="17"/>
      <c r="AJ100" s="22">
        <v>1</v>
      </c>
      <c r="AK100" s="17"/>
      <c r="AL100" s="17"/>
      <c r="AM100" s="17"/>
      <c r="AN100" s="17"/>
      <c r="AO100" s="22" t="s">
        <v>507</v>
      </c>
      <c r="AP100" s="22" t="s">
        <v>508</v>
      </c>
      <c r="AQ100" s="22">
        <v>2</v>
      </c>
      <c r="AR100" s="22">
        <v>1</v>
      </c>
      <c r="AS100" s="22">
        <v>1</v>
      </c>
      <c r="AT100" s="22">
        <v>1</v>
      </c>
      <c r="AU100" s="22">
        <v>1</v>
      </c>
      <c r="AV100" s="22">
        <v>2</v>
      </c>
      <c r="AW100" s="22">
        <v>1</v>
      </c>
      <c r="AX100" s="22">
        <v>1</v>
      </c>
      <c r="AY100" s="22">
        <v>2</v>
      </c>
      <c r="AZ100" s="22">
        <v>1</v>
      </c>
      <c r="BA100" s="17"/>
      <c r="BB100" s="22">
        <v>2</v>
      </c>
      <c r="BC100" s="17"/>
      <c r="BD100" s="17"/>
      <c r="BE100" s="17"/>
      <c r="BF100" s="22">
        <v>1</v>
      </c>
      <c r="BG100" s="17"/>
      <c r="BH100" s="17"/>
      <c r="BI100" s="17"/>
      <c r="BJ100" s="22">
        <v>1</v>
      </c>
      <c r="BK100" s="17"/>
      <c r="BL100" s="22">
        <v>1</v>
      </c>
      <c r="BM100" s="17"/>
      <c r="BN100" s="22">
        <v>2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22">
        <v>2</v>
      </c>
      <c r="CH100" s="17"/>
      <c r="CI100" s="17"/>
      <c r="CJ100" s="17"/>
      <c r="CK100" s="17"/>
      <c r="CL100" s="17"/>
      <c r="CM100" s="22">
        <v>1</v>
      </c>
      <c r="CN100" s="22">
        <v>1</v>
      </c>
      <c r="CO100" s="17"/>
      <c r="CP100" s="22">
        <v>1</v>
      </c>
      <c r="CQ100" s="17"/>
      <c r="CR100" s="17"/>
      <c r="CS100" s="22">
        <v>1</v>
      </c>
      <c r="CT100" s="22">
        <v>1</v>
      </c>
      <c r="CU100" s="17"/>
      <c r="CV100" s="22">
        <v>1</v>
      </c>
      <c r="CW100" s="22">
        <v>1</v>
      </c>
      <c r="CX100" s="17"/>
      <c r="CY100" s="22">
        <v>1</v>
      </c>
      <c r="CZ100" s="17"/>
      <c r="DA100" s="22">
        <v>2</v>
      </c>
      <c r="DB100" s="17"/>
      <c r="DC100" s="17"/>
      <c r="DD100" s="22">
        <v>2</v>
      </c>
      <c r="DE100" s="22">
        <v>2</v>
      </c>
      <c r="DF100" s="22">
        <v>1</v>
      </c>
      <c r="DG100" s="17"/>
      <c r="DH100" s="17"/>
      <c r="DI100" s="17"/>
      <c r="DJ100" s="22">
        <v>1</v>
      </c>
      <c r="DK100" s="22">
        <v>1</v>
      </c>
      <c r="DL100" s="17"/>
      <c r="DM100" s="22">
        <v>1</v>
      </c>
      <c r="DN100" s="22">
        <v>1</v>
      </c>
      <c r="DO100" s="22">
        <v>1</v>
      </c>
      <c r="DP100" s="17"/>
      <c r="DQ100" s="22">
        <v>1</v>
      </c>
      <c r="DR100" s="22">
        <v>1</v>
      </c>
      <c r="DS100" s="22">
        <v>1</v>
      </c>
      <c r="DT100" s="17"/>
      <c r="DU100" s="17"/>
      <c r="DV100" s="17"/>
      <c r="DW100" s="22">
        <v>1</v>
      </c>
      <c r="DX100" s="17"/>
      <c r="DY100" s="22">
        <v>1</v>
      </c>
      <c r="DZ100" s="17"/>
      <c r="EA100" s="17"/>
      <c r="EB100" s="17"/>
      <c r="EC100" s="17"/>
      <c r="ED100" s="17"/>
      <c r="EE100" s="17"/>
      <c r="EF100" s="17"/>
      <c r="EG100" s="22">
        <v>1</v>
      </c>
      <c r="EH100" s="17"/>
      <c r="EI100" s="17"/>
      <c r="EJ100" s="17"/>
      <c r="EK100" s="17"/>
      <c r="EL100" s="17"/>
      <c r="EM100" s="22">
        <v>1</v>
      </c>
      <c r="EN100" s="22">
        <v>1</v>
      </c>
      <c r="EO100" s="22">
        <v>1</v>
      </c>
      <c r="EP100" s="22">
        <v>1</v>
      </c>
      <c r="EQ100" s="17"/>
      <c r="ER100" s="17"/>
      <c r="ES100" s="22">
        <v>1</v>
      </c>
      <c r="ET100" s="22">
        <v>1</v>
      </c>
      <c r="EU100" s="22">
        <v>1</v>
      </c>
      <c r="EV100" s="22">
        <v>1</v>
      </c>
      <c r="EW100" s="17"/>
      <c r="EX100" s="22">
        <v>1</v>
      </c>
      <c r="EY100" s="17"/>
      <c r="EZ100" s="22">
        <v>1</v>
      </c>
      <c r="FA100" s="22">
        <v>1</v>
      </c>
      <c r="FB100" s="22">
        <v>1</v>
      </c>
      <c r="FC100" s="17"/>
      <c r="FD100" s="22">
        <v>1</v>
      </c>
      <c r="FE100" s="22">
        <v>1</v>
      </c>
      <c r="FF100" s="17"/>
      <c r="FG100" s="22">
        <v>1</v>
      </c>
      <c r="FH100" s="22">
        <v>1</v>
      </c>
      <c r="FI100" s="22">
        <v>1</v>
      </c>
      <c r="FJ100" s="22">
        <v>1</v>
      </c>
      <c r="FK100" s="17"/>
      <c r="FL100" s="17"/>
      <c r="FM100" s="17"/>
      <c r="FN100" s="22">
        <v>1</v>
      </c>
      <c r="FO100" s="22">
        <v>1</v>
      </c>
      <c r="FP100" s="17"/>
      <c r="FQ100" s="17"/>
      <c r="FR100" s="17"/>
      <c r="FS100" s="22">
        <v>1</v>
      </c>
      <c r="FT100" s="22">
        <v>1</v>
      </c>
      <c r="FU100" s="17"/>
      <c r="FV100" s="17"/>
      <c r="FW100" s="17"/>
      <c r="FX100" s="17"/>
      <c r="FY100" s="17"/>
      <c r="FZ100" s="17"/>
      <c r="GA100" s="17"/>
      <c r="GB100" s="17"/>
      <c r="GC100" s="22">
        <v>1</v>
      </c>
      <c r="GD100" s="17"/>
      <c r="GE100" s="22">
        <v>1</v>
      </c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22">
        <v>1</v>
      </c>
      <c r="GT100" s="22">
        <v>1</v>
      </c>
      <c r="GU100" s="22">
        <v>1</v>
      </c>
      <c r="GV100" s="17"/>
      <c r="GW100" s="22">
        <v>1</v>
      </c>
      <c r="GX100" s="22">
        <v>1</v>
      </c>
      <c r="GY100" s="22">
        <v>1</v>
      </c>
      <c r="GZ100" s="22">
        <v>1</v>
      </c>
      <c r="HA100" s="22">
        <v>1</v>
      </c>
      <c r="HB100" s="22">
        <v>1</v>
      </c>
      <c r="HC100" s="17"/>
      <c r="HD100" s="17"/>
      <c r="HE100" s="17"/>
      <c r="HF100" s="22">
        <v>1</v>
      </c>
      <c r="HG100" s="22">
        <v>1</v>
      </c>
      <c r="HH100" s="17"/>
      <c r="HI100" s="22">
        <v>1</v>
      </c>
      <c r="HJ100" s="22">
        <v>1</v>
      </c>
      <c r="HK100" s="22">
        <v>1</v>
      </c>
      <c r="HL100" s="22">
        <v>1</v>
      </c>
      <c r="HM100" s="17"/>
      <c r="HN100" s="17"/>
      <c r="HO100" s="22">
        <v>1</v>
      </c>
      <c r="HP100" s="17"/>
      <c r="HQ100" s="17"/>
      <c r="HR100" s="17"/>
      <c r="HS100" s="17"/>
      <c r="HT100" s="22">
        <v>1</v>
      </c>
      <c r="HU100" s="17"/>
      <c r="HV100" s="17"/>
      <c r="HW100" s="17"/>
      <c r="HX100" s="17"/>
      <c r="HY100" s="17"/>
      <c r="HZ100" s="22">
        <v>1</v>
      </c>
      <c r="IA100" s="17"/>
      <c r="IB100" s="17"/>
      <c r="IC100" s="17"/>
      <c r="ID100" s="17"/>
      <c r="IE100" s="17"/>
      <c r="IF100" s="17"/>
      <c r="IG100" s="17"/>
      <c r="IH100" s="22">
        <v>1</v>
      </c>
      <c r="II100" s="17"/>
      <c r="IJ100" s="17"/>
      <c r="IK100" s="17"/>
      <c r="IL100" s="22">
        <v>1</v>
      </c>
      <c r="IM100" s="17"/>
      <c r="IN100" s="17"/>
      <c r="IO100" s="17"/>
      <c r="IP100" s="17"/>
      <c r="IQ100" s="22">
        <v>1</v>
      </c>
      <c r="IR100" s="17"/>
      <c r="IS100" s="17"/>
      <c r="IT100" s="17"/>
      <c r="IU100" s="17"/>
      <c r="IV100" s="17"/>
      <c r="IW100" s="17"/>
      <c r="IX100" s="17"/>
      <c r="IY100" s="22">
        <v>1</v>
      </c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22">
        <v>1</v>
      </c>
      <c r="JY100" s="22">
        <v>1</v>
      </c>
      <c r="JZ100" s="22">
        <v>2</v>
      </c>
      <c r="KA100" s="17"/>
      <c r="KB100" s="17"/>
      <c r="KC100" s="17"/>
      <c r="KD100" s="17"/>
      <c r="KE100" s="17"/>
      <c r="KF100" s="22">
        <v>1</v>
      </c>
      <c r="KG100" s="17"/>
      <c r="KH100" s="22">
        <v>2</v>
      </c>
      <c r="KI100" s="17"/>
      <c r="KJ100" s="22">
        <v>1</v>
      </c>
      <c r="KK100" s="22">
        <v>1</v>
      </c>
      <c r="KL100" s="17"/>
      <c r="KM100" s="22">
        <v>1</v>
      </c>
      <c r="KN100" s="17"/>
      <c r="KO100" s="17"/>
      <c r="KP100" s="22">
        <v>1</v>
      </c>
      <c r="KQ100" s="17"/>
      <c r="KR100" s="17"/>
      <c r="KS100" s="17"/>
      <c r="KT100" s="22">
        <v>1</v>
      </c>
      <c r="KU100" s="17"/>
      <c r="KV100" s="17"/>
      <c r="KW100" s="17"/>
      <c r="KX100" s="17"/>
      <c r="KY100" s="22">
        <v>1</v>
      </c>
      <c r="KZ100" s="22">
        <v>1</v>
      </c>
      <c r="LA100" s="22">
        <v>1</v>
      </c>
      <c r="LB100" s="22">
        <v>1</v>
      </c>
      <c r="LC100" s="22">
        <v>1</v>
      </c>
      <c r="LD100" s="17"/>
      <c r="LE100" s="17"/>
      <c r="LF100" s="17"/>
      <c r="LG100" s="22">
        <v>1</v>
      </c>
      <c r="LH100" s="22">
        <v>1</v>
      </c>
      <c r="LI100" s="22">
        <v>1</v>
      </c>
      <c r="LJ100" s="17"/>
      <c r="LK100" s="17"/>
      <c r="LL100" s="22">
        <v>1</v>
      </c>
      <c r="LM100" s="17"/>
      <c r="LN100" s="17"/>
      <c r="LO100" s="17"/>
      <c r="LP100" s="22">
        <v>1</v>
      </c>
      <c r="LQ100" s="22">
        <v>1</v>
      </c>
      <c r="LR100" s="17"/>
      <c r="LS100" s="17"/>
      <c r="LT100" s="17"/>
      <c r="LU100" s="17"/>
      <c r="LV100" s="17"/>
      <c r="LW100" s="17"/>
      <c r="LX100" s="22">
        <v>1</v>
      </c>
      <c r="LY100" s="17"/>
      <c r="LZ100" s="17"/>
      <c r="MA100" s="17"/>
      <c r="MB100" s="17"/>
      <c r="MC100" s="17"/>
      <c r="MD100" s="17"/>
      <c r="ME100" s="22">
        <v>1</v>
      </c>
      <c r="MF100" s="17"/>
      <c r="MG100" s="17"/>
      <c r="MH100" s="17"/>
      <c r="MI100" s="22">
        <v>1</v>
      </c>
      <c r="MJ100" s="22">
        <v>1</v>
      </c>
      <c r="MK100" s="17"/>
      <c r="ML100" s="17"/>
      <c r="MM100" s="17"/>
      <c r="MN100" s="17"/>
      <c r="MO100" s="17"/>
      <c r="MP100" s="17"/>
      <c r="MQ100" s="22">
        <v>1</v>
      </c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22">
        <v>1</v>
      </c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22">
        <v>1</v>
      </c>
      <c r="NS100" s="17"/>
      <c r="NT100" s="17"/>
      <c r="NU100" s="17"/>
      <c r="NV100" s="22">
        <v>1</v>
      </c>
      <c r="NW100" s="17"/>
      <c r="NX100" s="17"/>
      <c r="NY100" s="22">
        <v>1</v>
      </c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22">
        <v>1</v>
      </c>
      <c r="OM100" s="17"/>
      <c r="ON100" s="17"/>
      <c r="OO100" s="17"/>
      <c r="OP100" s="17"/>
      <c r="OQ100" s="17"/>
      <c r="OR100" s="22">
        <v>2</v>
      </c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22">
        <v>1</v>
      </c>
      <c r="PH100" s="17"/>
      <c r="PI100" s="17"/>
      <c r="PJ100" s="17"/>
      <c r="PK100" s="17"/>
      <c r="PL100" s="17"/>
      <c r="PM100" s="17"/>
      <c r="PN100" s="22">
        <v>2</v>
      </c>
      <c r="PO100" s="17"/>
      <c r="PP100" s="17"/>
      <c r="PQ100" s="22">
        <v>1</v>
      </c>
      <c r="PR100" s="17"/>
      <c r="PS100" s="17"/>
      <c r="PT100" s="17"/>
      <c r="PU100" s="17"/>
      <c r="PV100" s="17"/>
      <c r="PW100" s="22" t="s">
        <v>506</v>
      </c>
      <c r="PX100" s="22" t="s">
        <v>506</v>
      </c>
      <c r="PY100" s="22" t="s">
        <v>506</v>
      </c>
      <c r="PZ100" s="22" t="s">
        <v>506</v>
      </c>
      <c r="QA100" s="22" t="s">
        <v>506</v>
      </c>
      <c r="QB100" s="22" t="s">
        <v>506</v>
      </c>
      <c r="QC100" s="22" t="s">
        <v>508</v>
      </c>
      <c r="QD100" s="22" t="s">
        <v>508</v>
      </c>
      <c r="QE100" s="22" t="s">
        <v>508</v>
      </c>
      <c r="QF100" s="22" t="s">
        <v>508</v>
      </c>
      <c r="QG100" s="22" t="s">
        <v>506</v>
      </c>
      <c r="QH100" s="22" t="s">
        <v>507</v>
      </c>
      <c r="QI100" s="22">
        <v>1</v>
      </c>
      <c r="QJ100" s="22">
        <v>1</v>
      </c>
      <c r="QK100" s="22">
        <v>1</v>
      </c>
      <c r="QL100" s="22">
        <v>1</v>
      </c>
      <c r="QM100" s="22">
        <v>0</v>
      </c>
      <c r="QN100" s="22">
        <v>1</v>
      </c>
      <c r="QO100" s="22">
        <v>1</v>
      </c>
      <c r="QP100" s="22">
        <v>1</v>
      </c>
      <c r="QQ100" s="22">
        <v>1</v>
      </c>
      <c r="QR100" s="22">
        <v>1</v>
      </c>
      <c r="QS100" s="22">
        <v>1</v>
      </c>
      <c r="QT100" s="22">
        <v>1</v>
      </c>
      <c r="QU100" s="22">
        <v>1</v>
      </c>
      <c r="QV100" s="22">
        <v>1</v>
      </c>
      <c r="QW100" s="22">
        <v>0</v>
      </c>
      <c r="QX100" s="22">
        <v>1</v>
      </c>
      <c r="QY100" s="22">
        <v>0</v>
      </c>
      <c r="QZ100" s="22">
        <v>1</v>
      </c>
      <c r="RA100" s="22">
        <v>0</v>
      </c>
      <c r="RB100" s="22">
        <v>1</v>
      </c>
      <c r="RC100" s="22">
        <v>1</v>
      </c>
      <c r="RD100" s="22">
        <v>1</v>
      </c>
      <c r="RE100" s="22">
        <v>1</v>
      </c>
      <c r="RF100" s="22">
        <v>0</v>
      </c>
      <c r="RG100" s="22">
        <v>0</v>
      </c>
      <c r="RH100" s="22">
        <v>1</v>
      </c>
      <c r="RI100" s="22">
        <v>0</v>
      </c>
      <c r="RJ100" s="22">
        <v>1</v>
      </c>
      <c r="RK100" s="22">
        <v>1</v>
      </c>
      <c r="RL100" s="22">
        <v>0</v>
      </c>
      <c r="RM100" s="22">
        <v>0</v>
      </c>
      <c r="RN100" s="22">
        <v>1</v>
      </c>
      <c r="RO100" s="22">
        <v>1</v>
      </c>
      <c r="RP100" s="22">
        <v>0</v>
      </c>
      <c r="RQ100" s="17"/>
      <c r="RR100" s="22">
        <v>0</v>
      </c>
      <c r="RS100" s="22">
        <v>1</v>
      </c>
      <c r="RT100" s="22">
        <v>0</v>
      </c>
      <c r="RU100" s="22">
        <v>1</v>
      </c>
      <c r="RV100" s="22">
        <v>0</v>
      </c>
      <c r="RW100" s="22">
        <v>0</v>
      </c>
      <c r="RX100" s="22">
        <v>1</v>
      </c>
      <c r="RY100" s="22">
        <v>0</v>
      </c>
      <c r="RZ100" s="22">
        <v>0</v>
      </c>
      <c r="SA100" s="22">
        <v>1</v>
      </c>
      <c r="SB100" s="22">
        <v>1</v>
      </c>
      <c r="SC100" s="22">
        <v>0</v>
      </c>
      <c r="SD100" s="22">
        <v>0</v>
      </c>
      <c r="SE100" s="22">
        <v>1</v>
      </c>
      <c r="SF100" s="17"/>
      <c r="SG100" s="22">
        <v>1</v>
      </c>
      <c r="SH100" s="22">
        <v>1</v>
      </c>
      <c r="SI100" s="22">
        <v>10102</v>
      </c>
      <c r="SJ100" s="19">
        <f t="shared" si="7"/>
        <v>107</v>
      </c>
      <c r="SK100" s="19">
        <f t="shared" si="8"/>
        <v>120</v>
      </c>
      <c r="SL100" s="19">
        <f t="shared" si="9"/>
        <v>13</v>
      </c>
      <c r="SM100" s="9">
        <v>10102</v>
      </c>
      <c r="SN100" s="9" t="s">
        <v>509</v>
      </c>
      <c r="SO100" s="10">
        <v>2</v>
      </c>
      <c r="SP100" s="9">
        <v>2</v>
      </c>
      <c r="SQ100" s="11" t="s">
        <v>517</v>
      </c>
      <c r="SR100" s="9">
        <v>18</v>
      </c>
      <c r="SS100" s="28">
        <v>63.5</v>
      </c>
      <c r="ST100" s="28">
        <v>16</v>
      </c>
      <c r="SU100" s="28">
        <v>91</v>
      </c>
      <c r="SV100" s="28">
        <v>14</v>
      </c>
      <c r="SW100" s="28">
        <v>8</v>
      </c>
      <c r="SX100" s="28">
        <v>12</v>
      </c>
      <c r="SY100" s="29">
        <v>33</v>
      </c>
      <c r="SZ100" s="30">
        <v>15</v>
      </c>
      <c r="TA100" s="31">
        <v>19</v>
      </c>
      <c r="TB100" s="31">
        <v>25</v>
      </c>
    </row>
    <row r="101" spans="1:522" ht="15.75" customHeight="1" x14ac:dyDescent="0.2">
      <c r="A101" s="22">
        <v>10103</v>
      </c>
      <c r="B101" s="22" t="s">
        <v>501</v>
      </c>
      <c r="C101" s="22" t="s">
        <v>502</v>
      </c>
      <c r="D101" s="22" t="s">
        <v>535</v>
      </c>
      <c r="E101" s="22" t="s">
        <v>509</v>
      </c>
      <c r="F101" s="23">
        <v>39214</v>
      </c>
      <c r="G101" s="23">
        <v>39785</v>
      </c>
      <c r="H101" s="14">
        <f t="shared" si="6"/>
        <v>18</v>
      </c>
      <c r="I101" s="17" t="s">
        <v>505</v>
      </c>
      <c r="J101" s="22">
        <v>1</v>
      </c>
      <c r="K101" s="22">
        <v>1</v>
      </c>
      <c r="L101" s="22">
        <v>1</v>
      </c>
      <c r="M101" s="22">
        <v>1</v>
      </c>
      <c r="N101" s="22">
        <v>1</v>
      </c>
      <c r="O101" s="17"/>
      <c r="P101" s="17"/>
      <c r="Q101" s="22">
        <v>1</v>
      </c>
      <c r="R101" s="22">
        <v>1</v>
      </c>
      <c r="S101" s="22">
        <v>1</v>
      </c>
      <c r="T101" s="22">
        <v>1</v>
      </c>
      <c r="U101" s="22">
        <v>1</v>
      </c>
      <c r="V101" s="22">
        <v>1</v>
      </c>
      <c r="W101" s="17"/>
      <c r="X101" s="22">
        <v>1</v>
      </c>
      <c r="Y101" s="22">
        <v>1</v>
      </c>
      <c r="Z101" s="17"/>
      <c r="AA101" s="17"/>
      <c r="AB101" s="22">
        <v>1</v>
      </c>
      <c r="AC101" s="22">
        <v>1</v>
      </c>
      <c r="AD101" s="22">
        <v>1</v>
      </c>
      <c r="AE101" s="22">
        <v>1</v>
      </c>
      <c r="AF101" s="22">
        <v>1</v>
      </c>
      <c r="AG101" s="17"/>
      <c r="AH101" s="22">
        <v>1</v>
      </c>
      <c r="AI101" s="17"/>
      <c r="AJ101" s="17"/>
      <c r="AK101" s="22">
        <v>1</v>
      </c>
      <c r="AL101" s="22">
        <v>1</v>
      </c>
      <c r="AM101" s="17"/>
      <c r="AN101" s="17"/>
      <c r="AO101" s="22" t="s">
        <v>508</v>
      </c>
      <c r="AP101" s="22" t="s">
        <v>508</v>
      </c>
      <c r="AQ101" s="17"/>
      <c r="AR101" s="17"/>
      <c r="AS101" s="17"/>
      <c r="AT101" s="17"/>
      <c r="AU101" s="17"/>
      <c r="AV101" s="17"/>
      <c r="AW101" s="17"/>
      <c r="AX101" s="17"/>
      <c r="AY101" s="22">
        <v>2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22">
        <v>1</v>
      </c>
      <c r="BK101" s="17"/>
      <c r="BL101" s="17"/>
      <c r="BM101" s="17"/>
      <c r="BN101" s="17"/>
      <c r="BO101" s="17"/>
      <c r="BP101" s="22">
        <v>1</v>
      </c>
      <c r="BQ101" s="17"/>
      <c r="BR101" s="22">
        <v>1</v>
      </c>
      <c r="BS101" s="17"/>
      <c r="BT101" s="17"/>
      <c r="BU101" s="17"/>
      <c r="BV101" s="17"/>
      <c r="BW101" s="17"/>
      <c r="BX101" s="17"/>
      <c r="BY101" s="17"/>
      <c r="BZ101" s="22">
        <v>1</v>
      </c>
      <c r="CA101" s="17"/>
      <c r="CB101" s="17"/>
      <c r="CC101" s="17"/>
      <c r="CD101" s="17"/>
      <c r="CE101" s="17"/>
      <c r="CF101" s="17"/>
      <c r="CG101" s="17"/>
      <c r="CH101" s="17"/>
      <c r="CI101" s="22">
        <v>1</v>
      </c>
      <c r="CJ101" s="17"/>
      <c r="CK101" s="17"/>
      <c r="CL101" s="17"/>
      <c r="CM101" s="17"/>
      <c r="CN101" s="17"/>
      <c r="CO101" s="17"/>
      <c r="CP101" s="22">
        <v>2</v>
      </c>
      <c r="CQ101" s="22">
        <v>1</v>
      </c>
      <c r="CR101" s="17"/>
      <c r="CS101" s="22">
        <v>1</v>
      </c>
      <c r="CT101" s="17"/>
      <c r="CU101" s="17"/>
      <c r="CV101" s="22">
        <v>2</v>
      </c>
      <c r="CW101" s="17"/>
      <c r="CX101" s="22">
        <v>1</v>
      </c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22">
        <v>2</v>
      </c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22">
        <v>1</v>
      </c>
      <c r="EP101" s="17"/>
      <c r="EQ101" s="17"/>
      <c r="ER101" s="17"/>
      <c r="ES101" s="17"/>
      <c r="ET101" s="22">
        <v>1</v>
      </c>
      <c r="EU101" s="22">
        <v>1</v>
      </c>
      <c r="EV101" s="22">
        <v>1</v>
      </c>
      <c r="EW101" s="17"/>
      <c r="EX101" s="22">
        <v>1</v>
      </c>
      <c r="EY101" s="17"/>
      <c r="EZ101" s="17"/>
      <c r="FA101" s="17"/>
      <c r="FB101" s="22">
        <v>1</v>
      </c>
      <c r="FC101" s="17"/>
      <c r="FD101" s="22">
        <v>1</v>
      </c>
      <c r="FE101" s="22">
        <v>1</v>
      </c>
      <c r="FF101" s="17"/>
      <c r="FG101" s="22">
        <v>1</v>
      </c>
      <c r="FH101" s="17"/>
      <c r="FI101" s="22">
        <v>1</v>
      </c>
      <c r="FJ101" s="17"/>
      <c r="FK101" s="17"/>
      <c r="FL101" s="17"/>
      <c r="FM101" s="17"/>
      <c r="FN101" s="17"/>
      <c r="FO101" s="22">
        <v>1</v>
      </c>
      <c r="FP101" s="22">
        <v>1</v>
      </c>
      <c r="FQ101" s="17"/>
      <c r="FR101" s="17"/>
      <c r="FS101" s="17"/>
      <c r="FT101" s="22">
        <v>1</v>
      </c>
      <c r="FU101" s="22">
        <v>1</v>
      </c>
      <c r="FV101" s="22">
        <v>1</v>
      </c>
      <c r="FW101" s="22">
        <v>1</v>
      </c>
      <c r="FX101" s="17"/>
      <c r="FY101" s="17"/>
      <c r="FZ101" s="17"/>
      <c r="GA101" s="17"/>
      <c r="GB101" s="17"/>
      <c r="GC101" s="22">
        <v>1</v>
      </c>
      <c r="GD101" s="17"/>
      <c r="GE101" s="17"/>
      <c r="GF101" s="17"/>
      <c r="GG101" s="17"/>
      <c r="GH101" s="17"/>
      <c r="GI101" s="22">
        <v>1</v>
      </c>
      <c r="GJ101" s="17"/>
      <c r="GK101" s="22">
        <v>1</v>
      </c>
      <c r="GL101" s="17"/>
      <c r="GM101" s="17"/>
      <c r="GN101" s="17"/>
      <c r="GO101" s="17"/>
      <c r="GP101" s="17"/>
      <c r="GQ101" s="17"/>
      <c r="GR101" s="22">
        <v>1</v>
      </c>
      <c r="GS101" s="17"/>
      <c r="GT101" s="17"/>
      <c r="GU101" s="17"/>
      <c r="GV101" s="17"/>
      <c r="GW101" s="17"/>
      <c r="GX101" s="22">
        <v>1</v>
      </c>
      <c r="GY101" s="22">
        <v>1</v>
      </c>
      <c r="GZ101" s="22">
        <v>1</v>
      </c>
      <c r="HA101" s="17"/>
      <c r="HB101" s="17"/>
      <c r="HC101" s="17"/>
      <c r="HD101" s="17"/>
      <c r="HE101" s="22">
        <v>1</v>
      </c>
      <c r="HF101" s="17"/>
      <c r="HG101" s="22">
        <v>1</v>
      </c>
      <c r="HH101" s="22">
        <v>1</v>
      </c>
      <c r="HI101" s="22">
        <v>1</v>
      </c>
      <c r="HJ101" s="22">
        <v>1</v>
      </c>
      <c r="HK101" s="22">
        <v>1</v>
      </c>
      <c r="HL101" s="22">
        <v>1</v>
      </c>
      <c r="HM101" s="22">
        <v>1</v>
      </c>
      <c r="HN101" s="17"/>
      <c r="HO101" s="17"/>
      <c r="HP101" s="22">
        <v>1</v>
      </c>
      <c r="HQ101" s="17"/>
      <c r="HR101" s="17"/>
      <c r="HS101" s="17"/>
      <c r="HT101" s="17"/>
      <c r="HU101" s="22">
        <v>1</v>
      </c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22">
        <v>1</v>
      </c>
      <c r="IL101" s="22">
        <v>1</v>
      </c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22">
        <v>1</v>
      </c>
      <c r="JH101" s="17"/>
      <c r="JI101" s="17"/>
      <c r="JJ101" s="17"/>
      <c r="JK101" s="22">
        <v>1</v>
      </c>
      <c r="JL101" s="17"/>
      <c r="JM101" s="17"/>
      <c r="JN101" s="17"/>
      <c r="JO101" s="17"/>
      <c r="JP101" s="17"/>
      <c r="JQ101" s="22">
        <v>1</v>
      </c>
      <c r="JR101" s="22">
        <v>1</v>
      </c>
      <c r="JS101" s="17"/>
      <c r="JT101" s="17"/>
      <c r="JU101" s="17"/>
      <c r="JV101" s="17"/>
      <c r="JW101" s="17"/>
      <c r="JX101" s="22">
        <v>1</v>
      </c>
      <c r="JY101" s="22">
        <v>1</v>
      </c>
      <c r="JZ101" s="22">
        <v>1</v>
      </c>
      <c r="KA101" s="22">
        <v>1</v>
      </c>
      <c r="KB101" s="17"/>
      <c r="KC101" s="22">
        <v>1</v>
      </c>
      <c r="KD101" s="17"/>
      <c r="KE101" s="22">
        <v>1</v>
      </c>
      <c r="KF101" s="17"/>
      <c r="KG101" s="22">
        <v>1</v>
      </c>
      <c r="KH101" s="22">
        <v>1</v>
      </c>
      <c r="KI101" s="17"/>
      <c r="KJ101" s="22">
        <v>1</v>
      </c>
      <c r="KK101" s="22">
        <v>1</v>
      </c>
      <c r="KL101" s="17"/>
      <c r="KM101" s="22">
        <v>1</v>
      </c>
      <c r="KN101" s="17"/>
      <c r="KO101" s="17"/>
      <c r="KP101" s="22">
        <v>2</v>
      </c>
      <c r="KQ101" s="17"/>
      <c r="KR101" s="17"/>
      <c r="KS101" s="17"/>
      <c r="KT101" s="22">
        <v>1</v>
      </c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22">
        <v>1</v>
      </c>
      <c r="LH101" s="17"/>
      <c r="LI101" s="22">
        <v>1</v>
      </c>
      <c r="LJ101" s="22">
        <v>1</v>
      </c>
      <c r="LK101" s="17"/>
      <c r="LL101" s="17"/>
      <c r="LM101" s="17"/>
      <c r="LN101" s="17"/>
      <c r="LO101" s="17"/>
      <c r="LP101" s="17"/>
      <c r="LQ101" s="22">
        <v>1</v>
      </c>
      <c r="LR101" s="17"/>
      <c r="LS101" s="17"/>
      <c r="LT101" s="17"/>
      <c r="LU101" s="22">
        <v>1</v>
      </c>
      <c r="LV101" s="22">
        <v>1</v>
      </c>
      <c r="LW101" s="17"/>
      <c r="LX101" s="17"/>
      <c r="LY101" s="17"/>
      <c r="LZ101" s="22">
        <v>1</v>
      </c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22">
        <v>1</v>
      </c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22">
        <v>1</v>
      </c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22">
        <v>1</v>
      </c>
      <c r="OH101" s="17"/>
      <c r="OI101" s="22">
        <v>1</v>
      </c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22">
        <v>2</v>
      </c>
      <c r="PG101" s="17"/>
      <c r="PH101" s="17"/>
      <c r="PI101" s="22">
        <v>1</v>
      </c>
      <c r="PJ101" s="22">
        <v>1</v>
      </c>
      <c r="PK101" s="17"/>
      <c r="PL101" s="17"/>
      <c r="PM101" s="17"/>
      <c r="PN101" s="22">
        <v>2</v>
      </c>
      <c r="PO101" s="17"/>
      <c r="PP101" s="17"/>
      <c r="PQ101" s="17"/>
      <c r="PR101" s="17"/>
      <c r="PS101" s="17"/>
      <c r="PT101" s="17"/>
      <c r="PU101" s="17"/>
      <c r="PV101" s="17"/>
      <c r="PW101" s="17"/>
      <c r="PX101" s="22" t="s">
        <v>506</v>
      </c>
      <c r="PY101" s="22" t="s">
        <v>506</v>
      </c>
      <c r="PZ101" s="22" t="s">
        <v>506</v>
      </c>
      <c r="QA101" s="22" t="s">
        <v>506</v>
      </c>
      <c r="QB101" s="22" t="s">
        <v>506</v>
      </c>
      <c r="QC101" s="22" t="s">
        <v>506</v>
      </c>
      <c r="QD101" s="22" t="s">
        <v>508</v>
      </c>
      <c r="QE101" s="22" t="s">
        <v>507</v>
      </c>
      <c r="QF101" s="22" t="s">
        <v>507</v>
      </c>
      <c r="QG101" s="22" t="s">
        <v>506</v>
      </c>
      <c r="QH101" s="22" t="s">
        <v>506</v>
      </c>
      <c r="QI101" s="22">
        <v>1</v>
      </c>
      <c r="QJ101" s="22">
        <v>0</v>
      </c>
      <c r="QK101" s="22">
        <v>0</v>
      </c>
      <c r="QL101" s="22">
        <v>1</v>
      </c>
      <c r="QM101" s="22">
        <v>0</v>
      </c>
      <c r="QN101" s="22">
        <v>1</v>
      </c>
      <c r="QO101" s="22">
        <v>1</v>
      </c>
      <c r="QP101" s="22">
        <v>1</v>
      </c>
      <c r="QQ101" s="22">
        <v>1</v>
      </c>
      <c r="QR101" s="22">
        <v>1</v>
      </c>
      <c r="QS101" s="22">
        <v>1</v>
      </c>
      <c r="QT101" s="22">
        <v>1</v>
      </c>
      <c r="QU101" s="22">
        <v>1</v>
      </c>
      <c r="QV101" s="22">
        <v>1</v>
      </c>
      <c r="QW101" s="22">
        <v>1</v>
      </c>
      <c r="QX101" s="22">
        <v>0</v>
      </c>
      <c r="QY101" s="22">
        <v>0</v>
      </c>
      <c r="QZ101" s="22">
        <v>1</v>
      </c>
      <c r="RA101" s="22">
        <v>1</v>
      </c>
      <c r="RB101" s="22">
        <v>1</v>
      </c>
      <c r="RC101" s="22">
        <v>1</v>
      </c>
      <c r="RD101" s="22">
        <v>1</v>
      </c>
      <c r="RE101" s="22">
        <v>1</v>
      </c>
      <c r="RF101" s="22">
        <v>0</v>
      </c>
      <c r="RG101" s="22">
        <v>0</v>
      </c>
      <c r="RH101" s="22">
        <v>0</v>
      </c>
      <c r="RI101" s="22">
        <v>0</v>
      </c>
      <c r="RJ101" s="22">
        <v>0</v>
      </c>
      <c r="RK101" s="22">
        <v>0</v>
      </c>
      <c r="RL101" s="22">
        <v>0</v>
      </c>
      <c r="RM101" s="22">
        <v>1</v>
      </c>
      <c r="RN101" s="22">
        <v>1</v>
      </c>
      <c r="RO101" s="22">
        <v>0</v>
      </c>
      <c r="RP101" s="22">
        <v>1</v>
      </c>
      <c r="RQ101" s="22">
        <v>0</v>
      </c>
      <c r="RR101" s="22">
        <v>0</v>
      </c>
      <c r="RS101" s="22">
        <v>1</v>
      </c>
      <c r="RT101" s="22">
        <v>1</v>
      </c>
      <c r="RU101" s="22">
        <v>1</v>
      </c>
      <c r="RV101" s="22">
        <v>0</v>
      </c>
      <c r="RW101" s="22">
        <v>1</v>
      </c>
      <c r="RX101" s="22">
        <v>1</v>
      </c>
      <c r="RY101" s="22">
        <v>0</v>
      </c>
      <c r="RZ101" s="22">
        <v>1</v>
      </c>
      <c r="SA101" s="22">
        <v>0</v>
      </c>
      <c r="SB101" s="22">
        <v>0</v>
      </c>
      <c r="SC101" s="22">
        <v>0</v>
      </c>
      <c r="SD101" s="22">
        <v>0</v>
      </c>
      <c r="SE101" s="22">
        <v>1</v>
      </c>
      <c r="SF101" s="22">
        <v>1</v>
      </c>
      <c r="SG101" s="22">
        <v>1</v>
      </c>
      <c r="SH101" s="22">
        <v>0</v>
      </c>
      <c r="SI101" s="22">
        <v>10103</v>
      </c>
      <c r="SJ101" s="19">
        <f t="shared" si="7"/>
        <v>72</v>
      </c>
      <c r="SK101" s="19">
        <f t="shared" si="8"/>
        <v>79</v>
      </c>
      <c r="SL101" s="19">
        <f t="shared" si="9"/>
        <v>7</v>
      </c>
      <c r="SM101" s="9">
        <v>10103</v>
      </c>
      <c r="SN101" s="9" t="s">
        <v>509</v>
      </c>
      <c r="SO101" s="10">
        <v>1</v>
      </c>
      <c r="SP101" s="9">
        <v>1</v>
      </c>
      <c r="SQ101" s="11" t="s">
        <v>517</v>
      </c>
      <c r="SR101" s="9">
        <v>18</v>
      </c>
      <c r="SS101" s="28">
        <v>66</v>
      </c>
      <c r="ST101" s="28">
        <v>17</v>
      </c>
      <c r="SU101" s="28">
        <v>108</v>
      </c>
      <c r="SV101" s="28">
        <v>11</v>
      </c>
      <c r="SW101" s="28">
        <v>1</v>
      </c>
      <c r="SX101" s="28">
        <v>5</v>
      </c>
      <c r="SY101" s="29">
        <v>30</v>
      </c>
      <c r="SZ101" s="30">
        <v>0</v>
      </c>
      <c r="TA101" s="31">
        <v>27</v>
      </c>
      <c r="TB101" s="31">
        <v>75</v>
      </c>
    </row>
    <row r="102" spans="1:522" ht="15.75" customHeight="1" x14ac:dyDescent="0.2">
      <c r="A102" s="22">
        <v>10104</v>
      </c>
      <c r="B102" s="22" t="s">
        <v>501</v>
      </c>
      <c r="C102" s="22" t="s">
        <v>502</v>
      </c>
      <c r="D102" s="22" t="s">
        <v>535</v>
      </c>
      <c r="E102" s="22" t="s">
        <v>509</v>
      </c>
      <c r="F102" s="23">
        <v>39245</v>
      </c>
      <c r="G102" s="23">
        <v>39826</v>
      </c>
      <c r="H102" s="14">
        <f t="shared" si="6"/>
        <v>19</v>
      </c>
      <c r="I102" s="22" t="s">
        <v>536</v>
      </c>
      <c r="J102" s="22">
        <v>1</v>
      </c>
      <c r="K102" s="22">
        <v>1</v>
      </c>
      <c r="L102" s="22">
        <v>1</v>
      </c>
      <c r="M102" s="22">
        <v>1</v>
      </c>
      <c r="N102" s="22">
        <v>1</v>
      </c>
      <c r="O102" s="22">
        <v>1</v>
      </c>
      <c r="P102" s="22">
        <v>1</v>
      </c>
      <c r="Q102" s="17"/>
      <c r="R102" s="22">
        <v>1</v>
      </c>
      <c r="S102" s="22">
        <v>1</v>
      </c>
      <c r="T102" s="22">
        <v>1</v>
      </c>
      <c r="U102" s="22">
        <v>1</v>
      </c>
      <c r="V102" s="22">
        <v>1</v>
      </c>
      <c r="W102" s="22">
        <v>1</v>
      </c>
      <c r="X102" s="22">
        <v>1</v>
      </c>
      <c r="Y102" s="22">
        <v>1</v>
      </c>
      <c r="Z102" s="22">
        <v>1</v>
      </c>
      <c r="AA102" s="22">
        <v>1</v>
      </c>
      <c r="AB102" s="22">
        <v>1</v>
      </c>
      <c r="AC102" s="22">
        <v>1</v>
      </c>
      <c r="AD102" s="17"/>
      <c r="AE102" s="22">
        <v>1</v>
      </c>
      <c r="AF102" s="22">
        <v>1</v>
      </c>
      <c r="AG102" s="22">
        <v>1</v>
      </c>
      <c r="AH102" s="22">
        <v>1</v>
      </c>
      <c r="AI102" s="22">
        <v>1</v>
      </c>
      <c r="AJ102" s="22">
        <v>1</v>
      </c>
      <c r="AK102" s="22">
        <v>1</v>
      </c>
      <c r="AL102" s="22">
        <v>1</v>
      </c>
      <c r="AM102" s="17"/>
      <c r="AN102" s="17"/>
      <c r="AO102" s="22" t="s">
        <v>507</v>
      </c>
      <c r="AP102" s="22" t="s">
        <v>508</v>
      </c>
      <c r="AQ102" s="22">
        <v>2</v>
      </c>
      <c r="AR102" s="17"/>
      <c r="AS102" s="22">
        <v>2</v>
      </c>
      <c r="AT102" s="22">
        <v>2</v>
      </c>
      <c r="AU102" s="22">
        <v>2</v>
      </c>
      <c r="AV102" s="22">
        <v>2</v>
      </c>
      <c r="AW102" s="17"/>
      <c r="AX102" s="22">
        <v>2</v>
      </c>
      <c r="AY102" s="22">
        <v>2</v>
      </c>
      <c r="AZ102" s="17"/>
      <c r="BA102" s="22">
        <v>2</v>
      </c>
      <c r="BB102" s="17"/>
      <c r="BC102" s="17"/>
      <c r="BD102" s="17"/>
      <c r="BE102" s="17"/>
      <c r="BF102" s="22">
        <v>1</v>
      </c>
      <c r="BG102" s="17"/>
      <c r="BH102" s="22">
        <v>2</v>
      </c>
      <c r="BI102" s="17"/>
      <c r="BJ102" s="22">
        <v>2</v>
      </c>
      <c r="BK102" s="22">
        <v>1</v>
      </c>
      <c r="BL102" s="22">
        <v>1</v>
      </c>
      <c r="BM102" s="17"/>
      <c r="BN102" s="22">
        <v>1</v>
      </c>
      <c r="BO102" s="17"/>
      <c r="BP102" s="22">
        <v>1</v>
      </c>
      <c r="BQ102" s="17"/>
      <c r="BR102" s="17"/>
      <c r="BS102" s="17"/>
      <c r="BT102" s="17"/>
      <c r="BU102" s="17"/>
      <c r="BV102" s="17"/>
      <c r="BW102" s="22">
        <v>2</v>
      </c>
      <c r="BX102" s="22">
        <v>2</v>
      </c>
      <c r="BY102" s="17"/>
      <c r="BZ102" s="17"/>
      <c r="CA102" s="17"/>
      <c r="CB102" s="17"/>
      <c r="CC102" s="22">
        <v>1</v>
      </c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22">
        <v>1</v>
      </c>
      <c r="CQ102" s="17"/>
      <c r="CR102" s="17"/>
      <c r="CS102" s="22">
        <v>1</v>
      </c>
      <c r="CT102" s="17"/>
      <c r="CU102" s="17"/>
      <c r="CV102" s="22">
        <v>2</v>
      </c>
      <c r="CW102" s="22">
        <v>2</v>
      </c>
      <c r="CX102" s="17"/>
      <c r="CY102" s="17"/>
      <c r="CZ102" s="17"/>
      <c r="DA102" s="17"/>
      <c r="DB102" s="17"/>
      <c r="DC102" s="17"/>
      <c r="DD102" s="22">
        <v>1</v>
      </c>
      <c r="DE102" s="22">
        <v>2</v>
      </c>
      <c r="DF102" s="22">
        <v>1</v>
      </c>
      <c r="DG102" s="17"/>
      <c r="DH102" s="22">
        <v>1</v>
      </c>
      <c r="DI102" s="22">
        <v>1</v>
      </c>
      <c r="DJ102" s="22">
        <v>1</v>
      </c>
      <c r="DK102" s="22">
        <v>1</v>
      </c>
      <c r="DL102" s="22">
        <v>1</v>
      </c>
      <c r="DM102" s="22">
        <v>2</v>
      </c>
      <c r="DN102" s="17"/>
      <c r="DO102" s="17"/>
      <c r="DP102" s="22">
        <v>2</v>
      </c>
      <c r="DQ102" s="22">
        <v>2</v>
      </c>
      <c r="DR102" s="22">
        <v>1</v>
      </c>
      <c r="DS102" s="17"/>
      <c r="DT102" s="17"/>
      <c r="DU102" s="17"/>
      <c r="DV102" s="17"/>
      <c r="DW102" s="17"/>
      <c r="DX102" s="17"/>
      <c r="DY102" s="22">
        <v>2</v>
      </c>
      <c r="DZ102" s="22">
        <v>1</v>
      </c>
      <c r="EA102" s="22">
        <v>1</v>
      </c>
      <c r="EB102" s="17"/>
      <c r="EC102" s="17"/>
      <c r="ED102" s="22">
        <v>1</v>
      </c>
      <c r="EE102" s="17"/>
      <c r="EF102" s="22">
        <v>1</v>
      </c>
      <c r="EG102" s="22">
        <v>2</v>
      </c>
      <c r="EH102" s="17"/>
      <c r="EI102" s="17"/>
      <c r="EJ102" s="17"/>
      <c r="EK102" s="17"/>
      <c r="EL102" s="22">
        <v>1</v>
      </c>
      <c r="EM102" s="22">
        <v>1</v>
      </c>
      <c r="EN102" s="17"/>
      <c r="EO102" s="17"/>
      <c r="EP102" s="17"/>
      <c r="EQ102" s="17"/>
      <c r="ER102" s="17"/>
      <c r="ES102" s="22">
        <v>1</v>
      </c>
      <c r="ET102" s="22">
        <v>1</v>
      </c>
      <c r="EU102" s="22">
        <v>1</v>
      </c>
      <c r="EV102" s="22">
        <v>2</v>
      </c>
      <c r="EW102" s="17"/>
      <c r="EX102" s="22">
        <v>1</v>
      </c>
      <c r="EY102" s="17"/>
      <c r="EZ102" s="17"/>
      <c r="FA102" s="17"/>
      <c r="FB102" s="22">
        <v>2</v>
      </c>
      <c r="FC102" s="17"/>
      <c r="FD102" s="22">
        <v>1</v>
      </c>
      <c r="FE102" s="22">
        <v>1</v>
      </c>
      <c r="FF102" s="17"/>
      <c r="FG102" s="22">
        <v>1</v>
      </c>
      <c r="FH102" s="22">
        <v>1</v>
      </c>
      <c r="FI102" s="22">
        <v>1</v>
      </c>
      <c r="FJ102" s="17"/>
      <c r="FK102" s="22">
        <v>1</v>
      </c>
      <c r="FL102" s="22">
        <v>1</v>
      </c>
      <c r="FM102" s="17"/>
      <c r="FN102" s="22">
        <v>1</v>
      </c>
      <c r="FO102" s="22">
        <v>1</v>
      </c>
      <c r="FP102" s="22">
        <v>2</v>
      </c>
      <c r="FQ102" s="17"/>
      <c r="FR102" s="22">
        <v>1</v>
      </c>
      <c r="FS102" s="22">
        <v>1</v>
      </c>
      <c r="FT102" s="22">
        <v>1</v>
      </c>
      <c r="FU102" s="22">
        <v>1</v>
      </c>
      <c r="FV102" s="22">
        <v>1</v>
      </c>
      <c r="FW102" s="22">
        <v>1</v>
      </c>
      <c r="FX102" s="17"/>
      <c r="FY102" s="17"/>
      <c r="FZ102" s="17"/>
      <c r="GA102" s="17"/>
      <c r="GB102" s="17"/>
      <c r="GC102" s="17"/>
      <c r="GD102" s="17"/>
      <c r="GE102" s="22">
        <v>1</v>
      </c>
      <c r="GF102" s="17"/>
      <c r="GG102" s="17"/>
      <c r="GH102" s="17"/>
      <c r="GI102" s="22">
        <v>1</v>
      </c>
      <c r="GJ102" s="17"/>
      <c r="GK102" s="22">
        <v>1</v>
      </c>
      <c r="GL102" s="22">
        <v>1</v>
      </c>
      <c r="GM102" s="17"/>
      <c r="GN102" s="22">
        <v>1</v>
      </c>
      <c r="GO102" s="17"/>
      <c r="GP102" s="17"/>
      <c r="GQ102" s="17"/>
      <c r="GR102" s="17"/>
      <c r="GS102" s="17"/>
      <c r="GT102" s="17"/>
      <c r="GU102" s="17"/>
      <c r="GV102" s="17"/>
      <c r="GW102" s="17"/>
      <c r="GX102" s="22">
        <v>1</v>
      </c>
      <c r="GY102" s="17"/>
      <c r="GZ102" s="22">
        <v>1</v>
      </c>
      <c r="HA102" s="17"/>
      <c r="HB102" s="22">
        <v>1</v>
      </c>
      <c r="HC102" s="17"/>
      <c r="HD102" s="17"/>
      <c r="HE102" s="17"/>
      <c r="HF102" s="17"/>
      <c r="HG102" s="22">
        <v>1</v>
      </c>
      <c r="HH102" s="22">
        <v>1</v>
      </c>
      <c r="HI102" s="22">
        <v>1</v>
      </c>
      <c r="HJ102" s="17"/>
      <c r="HK102" s="17"/>
      <c r="HL102" s="17"/>
      <c r="HM102" s="17"/>
      <c r="HN102" s="17"/>
      <c r="HO102" s="17"/>
      <c r="HP102" s="22">
        <v>1</v>
      </c>
      <c r="HQ102" s="17"/>
      <c r="HR102" s="17"/>
      <c r="HS102" s="17"/>
      <c r="HT102" s="22">
        <v>1</v>
      </c>
      <c r="HU102" s="17"/>
      <c r="HV102" s="17"/>
      <c r="HW102" s="17"/>
      <c r="HX102" s="17"/>
      <c r="HY102" s="17"/>
      <c r="HZ102" s="17"/>
      <c r="IA102" s="22">
        <v>1</v>
      </c>
      <c r="IB102" s="22">
        <v>1</v>
      </c>
      <c r="IC102" s="17"/>
      <c r="ID102" s="17"/>
      <c r="IE102" s="17"/>
      <c r="IF102" s="22">
        <v>1</v>
      </c>
      <c r="IG102" s="17"/>
      <c r="IH102" s="22">
        <v>1</v>
      </c>
      <c r="II102" s="17"/>
      <c r="IJ102" s="17"/>
      <c r="IK102" s="22">
        <v>1</v>
      </c>
      <c r="IL102" s="22">
        <v>1</v>
      </c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22">
        <v>1</v>
      </c>
      <c r="IZ102" s="22">
        <v>1</v>
      </c>
      <c r="JA102" s="17"/>
      <c r="JB102" s="22">
        <v>1</v>
      </c>
      <c r="JC102" s="22">
        <v>1</v>
      </c>
      <c r="JD102" s="17"/>
      <c r="JE102" s="22">
        <v>2</v>
      </c>
      <c r="JF102" s="17"/>
      <c r="JG102" s="22">
        <v>2</v>
      </c>
      <c r="JH102" s="17"/>
      <c r="JI102" s="17"/>
      <c r="JJ102" s="17"/>
      <c r="JK102" s="22">
        <v>2</v>
      </c>
      <c r="JL102" s="17"/>
      <c r="JM102" s="22">
        <v>1</v>
      </c>
      <c r="JN102" s="22">
        <v>1</v>
      </c>
      <c r="JO102" s="17"/>
      <c r="JP102" s="17"/>
      <c r="JQ102" s="22">
        <v>2</v>
      </c>
      <c r="JR102" s="22">
        <v>2</v>
      </c>
      <c r="JS102" s="17"/>
      <c r="JT102" s="17"/>
      <c r="JU102" s="22">
        <v>2</v>
      </c>
      <c r="JV102" s="17"/>
      <c r="JW102" s="17"/>
      <c r="JX102" s="22">
        <v>1</v>
      </c>
      <c r="JY102" s="22">
        <v>1</v>
      </c>
      <c r="JZ102" s="22">
        <v>2</v>
      </c>
      <c r="KA102" s="22">
        <v>1</v>
      </c>
      <c r="KB102" s="22">
        <v>1</v>
      </c>
      <c r="KC102" s="17"/>
      <c r="KD102" s="22">
        <v>1</v>
      </c>
      <c r="KE102" s="22">
        <v>1</v>
      </c>
      <c r="KF102" s="22">
        <v>1</v>
      </c>
      <c r="KG102" s="22">
        <v>1</v>
      </c>
      <c r="KH102" s="22">
        <v>2</v>
      </c>
      <c r="KI102" s="17"/>
      <c r="KJ102" s="22">
        <v>2</v>
      </c>
      <c r="KK102" s="17"/>
      <c r="KL102" s="22">
        <v>1</v>
      </c>
      <c r="KM102" s="22">
        <v>1</v>
      </c>
      <c r="KN102" s="22">
        <v>1</v>
      </c>
      <c r="KO102" s="22">
        <v>1</v>
      </c>
      <c r="KP102" s="22">
        <v>2</v>
      </c>
      <c r="KQ102" s="17"/>
      <c r="KR102" s="22">
        <v>1</v>
      </c>
      <c r="KS102" s="17"/>
      <c r="KT102" s="17"/>
      <c r="KU102" s="17"/>
      <c r="KV102" s="22">
        <v>1</v>
      </c>
      <c r="KW102" s="22">
        <v>1</v>
      </c>
      <c r="KX102" s="22">
        <v>1</v>
      </c>
      <c r="KY102" s="22">
        <v>1</v>
      </c>
      <c r="KZ102" s="22">
        <v>1</v>
      </c>
      <c r="LA102" s="22">
        <v>1</v>
      </c>
      <c r="LB102" s="17"/>
      <c r="LC102" s="22">
        <v>1</v>
      </c>
      <c r="LD102" s="17"/>
      <c r="LE102" s="17"/>
      <c r="LF102" s="17"/>
      <c r="LG102" s="22">
        <v>1</v>
      </c>
      <c r="LH102" s="22">
        <v>1</v>
      </c>
      <c r="LI102" s="22">
        <v>1</v>
      </c>
      <c r="LJ102" s="17"/>
      <c r="LK102" s="17"/>
      <c r="LL102" s="22">
        <v>1</v>
      </c>
      <c r="LM102" s="17"/>
      <c r="LN102" s="22">
        <v>1</v>
      </c>
      <c r="LO102" s="17"/>
      <c r="LP102" s="22">
        <v>1</v>
      </c>
      <c r="LQ102" s="17"/>
      <c r="LR102" s="22">
        <v>1</v>
      </c>
      <c r="LS102" s="17"/>
      <c r="LT102" s="22">
        <v>1</v>
      </c>
      <c r="LU102" s="17"/>
      <c r="LV102" s="17"/>
      <c r="LW102" s="22">
        <v>1</v>
      </c>
      <c r="LX102" s="17"/>
      <c r="LY102" s="17"/>
      <c r="LZ102" s="22">
        <v>1</v>
      </c>
      <c r="MA102" s="17"/>
      <c r="MB102" s="22">
        <v>1</v>
      </c>
      <c r="MC102" s="17"/>
      <c r="MD102" s="17"/>
      <c r="ME102" s="17"/>
      <c r="MF102" s="22">
        <v>1</v>
      </c>
      <c r="MG102" s="17"/>
      <c r="MH102" s="17"/>
      <c r="MI102" s="17"/>
      <c r="MJ102" s="22">
        <v>1</v>
      </c>
      <c r="MK102" s="22">
        <v>1</v>
      </c>
      <c r="ML102" s="22">
        <v>1</v>
      </c>
      <c r="MM102" s="22">
        <v>1</v>
      </c>
      <c r="MN102" s="22">
        <v>1</v>
      </c>
      <c r="MO102" s="17"/>
      <c r="MP102" s="22">
        <v>1</v>
      </c>
      <c r="MQ102" s="17"/>
      <c r="MR102" s="22">
        <v>1</v>
      </c>
      <c r="MS102" s="17"/>
      <c r="MT102" s="17"/>
      <c r="MU102" s="17"/>
      <c r="MV102" s="17"/>
      <c r="MW102" s="17"/>
      <c r="MX102" s="17"/>
      <c r="MY102" s="17"/>
      <c r="MZ102" s="17"/>
      <c r="NA102" s="17"/>
      <c r="NB102" s="22">
        <v>2</v>
      </c>
      <c r="NC102" s="17"/>
      <c r="ND102" s="17"/>
      <c r="NE102" s="17"/>
      <c r="NF102" s="17"/>
      <c r="NG102" s="17"/>
      <c r="NH102" s="17"/>
      <c r="NI102" s="17"/>
      <c r="NJ102" s="22">
        <v>1</v>
      </c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22">
        <v>1</v>
      </c>
      <c r="NW102" s="22">
        <v>1</v>
      </c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22">
        <v>1</v>
      </c>
      <c r="OP102" s="17"/>
      <c r="OQ102" s="22">
        <v>1</v>
      </c>
      <c r="OR102" s="22">
        <v>2</v>
      </c>
      <c r="OS102" s="17"/>
      <c r="OT102" s="17"/>
      <c r="OU102" s="22">
        <v>1</v>
      </c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22">
        <v>1</v>
      </c>
      <c r="PG102" s="17"/>
      <c r="PH102" s="17"/>
      <c r="PI102" s="17"/>
      <c r="PJ102" s="17"/>
      <c r="PK102" s="17"/>
      <c r="PL102" s="22">
        <v>1</v>
      </c>
      <c r="PM102" s="17"/>
      <c r="PN102" s="17"/>
      <c r="PO102" s="17"/>
      <c r="PP102" s="17"/>
      <c r="PQ102" s="22">
        <v>2</v>
      </c>
      <c r="PR102" s="17"/>
      <c r="PS102" s="17"/>
      <c r="PT102" s="17"/>
      <c r="PU102" s="17"/>
      <c r="PV102" s="17"/>
      <c r="PW102" s="22" t="s">
        <v>507</v>
      </c>
      <c r="PX102" s="22" t="s">
        <v>507</v>
      </c>
      <c r="PY102" s="22" t="s">
        <v>507</v>
      </c>
      <c r="PZ102" s="22" t="s">
        <v>506</v>
      </c>
      <c r="QA102" s="22" t="s">
        <v>506</v>
      </c>
      <c r="QB102" s="22" t="s">
        <v>506</v>
      </c>
      <c r="QC102" s="22" t="s">
        <v>507</v>
      </c>
      <c r="QD102" s="22" t="s">
        <v>508</v>
      </c>
      <c r="QE102" s="22" t="s">
        <v>506</v>
      </c>
      <c r="QF102" s="22" t="s">
        <v>508</v>
      </c>
      <c r="QG102" s="22" t="s">
        <v>507</v>
      </c>
      <c r="QH102" s="22" t="s">
        <v>508</v>
      </c>
      <c r="QI102" s="22">
        <v>1</v>
      </c>
      <c r="QJ102" s="22">
        <v>0</v>
      </c>
      <c r="QK102" s="22">
        <v>0</v>
      </c>
      <c r="QL102" s="22">
        <v>1</v>
      </c>
      <c r="QM102" s="22">
        <v>0</v>
      </c>
      <c r="QN102" s="22">
        <v>1</v>
      </c>
      <c r="QO102" s="22">
        <v>1</v>
      </c>
      <c r="QP102" s="22">
        <v>1</v>
      </c>
      <c r="QQ102" s="22">
        <v>1</v>
      </c>
      <c r="QR102" s="22">
        <v>1</v>
      </c>
      <c r="QS102" s="22">
        <v>1</v>
      </c>
      <c r="QT102" s="22">
        <v>1</v>
      </c>
      <c r="QU102" s="22">
        <v>1</v>
      </c>
      <c r="QV102" s="22">
        <v>0</v>
      </c>
      <c r="QW102" s="22">
        <v>0</v>
      </c>
      <c r="QX102" s="22">
        <v>1</v>
      </c>
      <c r="QY102" s="22">
        <v>0</v>
      </c>
      <c r="QZ102" s="22">
        <v>1</v>
      </c>
      <c r="RA102" s="22">
        <v>0</v>
      </c>
      <c r="RB102" s="22">
        <v>1</v>
      </c>
      <c r="RC102" s="22">
        <v>1</v>
      </c>
      <c r="RD102" s="22">
        <v>1</v>
      </c>
      <c r="RE102" s="22">
        <v>1</v>
      </c>
      <c r="RF102" s="22">
        <v>1</v>
      </c>
      <c r="RG102" s="22">
        <v>1</v>
      </c>
      <c r="RH102" s="22">
        <v>0</v>
      </c>
      <c r="RI102" s="22">
        <v>0</v>
      </c>
      <c r="RJ102" s="22">
        <v>0</v>
      </c>
      <c r="RK102" s="22">
        <v>0</v>
      </c>
      <c r="RL102" s="22">
        <v>1</v>
      </c>
      <c r="RM102" s="22">
        <v>0</v>
      </c>
      <c r="RN102" s="22">
        <v>1</v>
      </c>
      <c r="RO102" s="22">
        <v>1</v>
      </c>
      <c r="RP102" s="22">
        <v>1</v>
      </c>
      <c r="RQ102" s="22">
        <v>0</v>
      </c>
      <c r="RR102" s="22">
        <v>0</v>
      </c>
      <c r="RS102" s="22">
        <v>1</v>
      </c>
      <c r="RT102" s="22">
        <v>0</v>
      </c>
      <c r="RU102" s="22">
        <v>1</v>
      </c>
      <c r="RV102" s="22">
        <v>0</v>
      </c>
      <c r="RW102" s="22">
        <v>1</v>
      </c>
      <c r="RX102" s="22">
        <v>1</v>
      </c>
      <c r="RY102" s="22">
        <v>0</v>
      </c>
      <c r="RZ102" s="22">
        <v>0</v>
      </c>
      <c r="SA102" s="22">
        <v>0</v>
      </c>
      <c r="SB102" s="22">
        <v>0</v>
      </c>
      <c r="SC102" s="22">
        <v>0</v>
      </c>
      <c r="SD102" s="22">
        <v>0</v>
      </c>
      <c r="SE102" s="22">
        <v>1</v>
      </c>
      <c r="SF102" s="22">
        <v>1</v>
      </c>
      <c r="SG102" s="22">
        <v>1</v>
      </c>
      <c r="SH102" s="17"/>
      <c r="SI102" s="22">
        <v>10104</v>
      </c>
      <c r="SJ102" s="19">
        <f t="shared" si="7"/>
        <v>113</v>
      </c>
      <c r="SK102" s="19">
        <f t="shared" si="8"/>
        <v>149</v>
      </c>
      <c r="SL102" s="19">
        <f t="shared" si="9"/>
        <v>36</v>
      </c>
      <c r="SM102" s="9">
        <v>10104</v>
      </c>
      <c r="SN102" s="9" t="s">
        <v>509</v>
      </c>
      <c r="SO102" s="10">
        <v>2</v>
      </c>
      <c r="SP102" s="9">
        <v>2</v>
      </c>
      <c r="SQ102" s="11" t="s">
        <v>517</v>
      </c>
      <c r="SR102" s="9">
        <v>18</v>
      </c>
      <c r="SS102" s="28">
        <v>61</v>
      </c>
      <c r="ST102" s="28">
        <v>16</v>
      </c>
      <c r="SU102" s="28">
        <v>45</v>
      </c>
      <c r="SV102" s="28">
        <v>0</v>
      </c>
      <c r="SW102" s="28">
        <v>9</v>
      </c>
      <c r="SX102" s="28">
        <v>13</v>
      </c>
      <c r="SY102" s="29">
        <v>29</v>
      </c>
      <c r="SZ102" s="30">
        <v>9</v>
      </c>
      <c r="TA102" s="31">
        <v>18</v>
      </c>
      <c r="TB102" s="31">
        <v>23</v>
      </c>
    </row>
    <row r="103" spans="1:522" ht="15.75" customHeight="1" x14ac:dyDescent="0.2">
      <c r="A103" s="22">
        <v>10105</v>
      </c>
      <c r="B103" s="22" t="s">
        <v>501</v>
      </c>
      <c r="C103" s="22" t="s">
        <v>502</v>
      </c>
      <c r="D103" s="22" t="s">
        <v>535</v>
      </c>
      <c r="E103" s="22" t="s">
        <v>509</v>
      </c>
      <c r="F103" s="23">
        <v>39064</v>
      </c>
      <c r="G103" s="23">
        <v>39638</v>
      </c>
      <c r="H103" s="14">
        <f t="shared" si="6"/>
        <v>18</v>
      </c>
      <c r="I103" s="22" t="s">
        <v>536</v>
      </c>
      <c r="J103" s="22">
        <v>1</v>
      </c>
      <c r="K103" s="22">
        <v>1</v>
      </c>
      <c r="L103" s="22">
        <v>1</v>
      </c>
      <c r="M103" s="22">
        <v>1</v>
      </c>
      <c r="N103" s="22">
        <v>1</v>
      </c>
      <c r="O103" s="22">
        <v>1</v>
      </c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22">
        <v>1</v>
      </c>
      <c r="V103" s="22">
        <v>1</v>
      </c>
      <c r="W103" s="17"/>
      <c r="X103" s="22">
        <v>1</v>
      </c>
      <c r="Y103" s="22">
        <v>1</v>
      </c>
      <c r="Z103" s="22">
        <v>1</v>
      </c>
      <c r="AA103" s="22">
        <v>1</v>
      </c>
      <c r="AB103" s="22">
        <v>1</v>
      </c>
      <c r="AC103" s="22">
        <v>1</v>
      </c>
      <c r="AD103" s="17"/>
      <c r="AE103" s="22">
        <v>1</v>
      </c>
      <c r="AF103" s="22">
        <v>1</v>
      </c>
      <c r="AG103" s="22">
        <v>1</v>
      </c>
      <c r="AH103" s="22">
        <v>1</v>
      </c>
      <c r="AI103" s="22">
        <v>1</v>
      </c>
      <c r="AJ103" s="22">
        <v>1</v>
      </c>
      <c r="AK103" s="22">
        <v>1</v>
      </c>
      <c r="AL103" s="22">
        <v>1</v>
      </c>
      <c r="AM103" s="22">
        <v>1</v>
      </c>
      <c r="AN103" s="22">
        <v>1</v>
      </c>
      <c r="AO103" s="22" t="s">
        <v>507</v>
      </c>
      <c r="AP103" s="22" t="s">
        <v>507</v>
      </c>
      <c r="AQ103" s="17"/>
      <c r="AR103" s="17"/>
      <c r="AS103" s="17"/>
      <c r="AT103" s="22">
        <v>2</v>
      </c>
      <c r="AU103" s="22">
        <v>1</v>
      </c>
      <c r="AV103" s="17"/>
      <c r="AW103" s="22">
        <v>2</v>
      </c>
      <c r="AX103" s="22">
        <v>1</v>
      </c>
      <c r="AY103" s="22">
        <v>2</v>
      </c>
      <c r="AZ103" s="17"/>
      <c r="BA103" s="22">
        <v>2</v>
      </c>
      <c r="BB103" s="22">
        <v>2</v>
      </c>
      <c r="BC103" s="22">
        <v>1</v>
      </c>
      <c r="BD103" s="17"/>
      <c r="BE103" s="17"/>
      <c r="BF103" s="22">
        <v>1</v>
      </c>
      <c r="BG103" s="17"/>
      <c r="BH103" s="22">
        <v>1</v>
      </c>
      <c r="BI103" s="22">
        <v>1</v>
      </c>
      <c r="BJ103" s="22">
        <v>1</v>
      </c>
      <c r="BK103" s="17"/>
      <c r="BL103" s="17"/>
      <c r="BM103" s="17"/>
      <c r="BN103" s="22">
        <v>1</v>
      </c>
      <c r="BO103" s="17"/>
      <c r="BP103" s="22">
        <v>2</v>
      </c>
      <c r="BQ103" s="17"/>
      <c r="BR103" s="22">
        <v>1</v>
      </c>
      <c r="BS103" s="17"/>
      <c r="BT103" s="17"/>
      <c r="BU103" s="17"/>
      <c r="BV103" s="17"/>
      <c r="BW103" s="22">
        <v>1</v>
      </c>
      <c r="BX103" s="17"/>
      <c r="BY103" s="17"/>
      <c r="BZ103" s="17"/>
      <c r="CA103" s="17"/>
      <c r="CB103" s="17"/>
      <c r="CC103" s="17"/>
      <c r="CD103" s="22">
        <v>1</v>
      </c>
      <c r="CE103" s="17"/>
      <c r="CF103" s="22">
        <v>1</v>
      </c>
      <c r="CG103" s="17"/>
      <c r="CH103" s="17"/>
      <c r="CI103" s="17"/>
      <c r="CJ103" s="17"/>
      <c r="CK103" s="17"/>
      <c r="CL103" s="17"/>
      <c r="CM103" s="22">
        <v>1</v>
      </c>
      <c r="CN103" s="17"/>
      <c r="CO103" s="17"/>
      <c r="CP103" s="22">
        <v>1</v>
      </c>
      <c r="CQ103" s="17"/>
      <c r="CR103" s="17"/>
      <c r="CS103" s="22">
        <v>1</v>
      </c>
      <c r="CT103" s="17"/>
      <c r="CU103" s="22">
        <v>2</v>
      </c>
      <c r="CV103" s="22">
        <v>2</v>
      </c>
      <c r="CW103" s="22">
        <v>2</v>
      </c>
      <c r="CX103" s="22" t="s">
        <v>539</v>
      </c>
      <c r="CY103" s="22">
        <v>1</v>
      </c>
      <c r="CZ103" s="22">
        <v>1</v>
      </c>
      <c r="DA103" s="22">
        <v>1</v>
      </c>
      <c r="DB103" s="22">
        <v>1</v>
      </c>
      <c r="DC103" s="22">
        <v>1</v>
      </c>
      <c r="DD103" s="22">
        <v>1</v>
      </c>
      <c r="DE103" s="22">
        <v>1</v>
      </c>
      <c r="DF103" s="17"/>
      <c r="DG103" s="17"/>
      <c r="DH103" s="17"/>
      <c r="DI103" s="17"/>
      <c r="DJ103" s="17"/>
      <c r="DK103" s="22">
        <v>1</v>
      </c>
      <c r="DL103" s="22">
        <v>1</v>
      </c>
      <c r="DM103" s="22">
        <v>1</v>
      </c>
      <c r="DN103" s="22">
        <v>1</v>
      </c>
      <c r="DO103" s="17"/>
      <c r="DP103" s="22">
        <v>1</v>
      </c>
      <c r="DQ103" s="22">
        <v>1</v>
      </c>
      <c r="DR103" s="22">
        <v>1</v>
      </c>
      <c r="DS103" s="22">
        <v>1</v>
      </c>
      <c r="DT103" s="17"/>
      <c r="DU103" s="17"/>
      <c r="DV103" s="22">
        <v>1</v>
      </c>
      <c r="DW103" s="22">
        <v>1</v>
      </c>
      <c r="DX103" s="22">
        <v>1</v>
      </c>
      <c r="DY103" s="22">
        <v>1</v>
      </c>
      <c r="DZ103" s="22">
        <v>1</v>
      </c>
      <c r="EA103" s="17"/>
      <c r="EB103" s="22">
        <v>1</v>
      </c>
      <c r="EC103" s="17"/>
      <c r="ED103" s="17"/>
      <c r="EE103" s="17"/>
      <c r="EF103" s="17"/>
      <c r="EG103" s="22">
        <v>1</v>
      </c>
      <c r="EH103" s="17"/>
      <c r="EI103" s="22">
        <v>1</v>
      </c>
      <c r="EJ103" s="17"/>
      <c r="EK103" s="17"/>
      <c r="EL103" s="17"/>
      <c r="EM103" s="22">
        <v>1</v>
      </c>
      <c r="EN103" s="17"/>
      <c r="EO103" s="22">
        <v>2</v>
      </c>
      <c r="EP103" s="17"/>
      <c r="EQ103" s="17"/>
      <c r="ER103" s="22">
        <v>1</v>
      </c>
      <c r="ES103" s="17"/>
      <c r="ET103" s="22">
        <v>1</v>
      </c>
      <c r="EU103" s="22">
        <v>1</v>
      </c>
      <c r="EV103" s="22">
        <v>2</v>
      </c>
      <c r="EW103" s="17"/>
      <c r="EX103" s="22">
        <v>2</v>
      </c>
      <c r="EY103" s="17"/>
      <c r="EZ103" s="22">
        <v>1</v>
      </c>
      <c r="FA103" s="22">
        <v>1</v>
      </c>
      <c r="FB103" s="22">
        <v>1</v>
      </c>
      <c r="FC103" s="22">
        <v>1</v>
      </c>
      <c r="FD103" s="22">
        <v>1</v>
      </c>
      <c r="FE103" s="22">
        <v>1</v>
      </c>
      <c r="FF103" s="22">
        <v>1</v>
      </c>
      <c r="FG103" s="22">
        <v>1</v>
      </c>
      <c r="FH103" s="22">
        <v>1</v>
      </c>
      <c r="FI103" s="22">
        <v>2</v>
      </c>
      <c r="FJ103" s="22">
        <v>1</v>
      </c>
      <c r="FK103" s="22">
        <v>2</v>
      </c>
      <c r="FL103" s="17"/>
      <c r="FM103" s="22">
        <v>2</v>
      </c>
      <c r="FN103" s="22">
        <v>1</v>
      </c>
      <c r="FO103" s="22">
        <v>1</v>
      </c>
      <c r="FP103" s="17"/>
      <c r="FQ103" s="22">
        <v>1</v>
      </c>
      <c r="FR103" s="22">
        <v>1</v>
      </c>
      <c r="FS103" s="22">
        <v>1</v>
      </c>
      <c r="FT103" s="22">
        <v>1</v>
      </c>
      <c r="FU103" s="22">
        <v>1</v>
      </c>
      <c r="FV103" s="22">
        <v>1</v>
      </c>
      <c r="FW103" s="22">
        <v>1</v>
      </c>
      <c r="FX103" s="22">
        <v>1</v>
      </c>
      <c r="FY103" s="17"/>
      <c r="FZ103" s="22">
        <v>1</v>
      </c>
      <c r="GA103" s="17"/>
      <c r="GB103" s="22">
        <v>1</v>
      </c>
      <c r="GC103" s="22">
        <v>1</v>
      </c>
      <c r="GD103" s="17"/>
      <c r="GE103" s="22">
        <v>1</v>
      </c>
      <c r="GF103" s="17"/>
      <c r="GG103" s="22">
        <v>1</v>
      </c>
      <c r="GH103" s="17"/>
      <c r="GI103" s="22">
        <v>1</v>
      </c>
      <c r="GJ103" s="22">
        <v>1</v>
      </c>
      <c r="GK103" s="22">
        <v>1</v>
      </c>
      <c r="GL103" s="17"/>
      <c r="GM103" s="17"/>
      <c r="GN103" s="22">
        <v>1</v>
      </c>
      <c r="GO103" s="17"/>
      <c r="GP103" s="17"/>
      <c r="GQ103" s="17"/>
      <c r="GR103" s="17"/>
      <c r="GS103" s="22">
        <v>1</v>
      </c>
      <c r="GT103" s="17"/>
      <c r="GU103" s="17"/>
      <c r="GV103" s="17"/>
      <c r="GW103" s="17"/>
      <c r="GX103" s="22">
        <v>1</v>
      </c>
      <c r="GY103" s="22">
        <v>1</v>
      </c>
      <c r="GZ103" s="22">
        <v>1</v>
      </c>
      <c r="HA103" s="22">
        <v>1</v>
      </c>
      <c r="HB103" s="22">
        <v>1</v>
      </c>
      <c r="HC103" s="17"/>
      <c r="HD103" s="22">
        <v>1</v>
      </c>
      <c r="HE103" s="22">
        <v>1</v>
      </c>
      <c r="HF103" s="17"/>
      <c r="HG103" s="22">
        <v>1</v>
      </c>
      <c r="HH103" s="17"/>
      <c r="HI103" s="22">
        <v>1</v>
      </c>
      <c r="HJ103" s="22">
        <v>1</v>
      </c>
      <c r="HK103" s="22">
        <v>1</v>
      </c>
      <c r="HL103" s="22">
        <v>1</v>
      </c>
      <c r="HM103" s="22">
        <v>1</v>
      </c>
      <c r="HN103" s="17"/>
      <c r="HO103" s="22">
        <v>1</v>
      </c>
      <c r="HP103" s="22">
        <v>1</v>
      </c>
      <c r="HQ103" s="17"/>
      <c r="HR103" s="17"/>
      <c r="HS103" s="17"/>
      <c r="HT103" s="22">
        <v>1</v>
      </c>
      <c r="HU103" s="22">
        <v>1</v>
      </c>
      <c r="HV103" s="17"/>
      <c r="HW103" s="17"/>
      <c r="HX103" s="22">
        <v>1</v>
      </c>
      <c r="HY103" s="17"/>
      <c r="HZ103" s="17"/>
      <c r="IA103" s="22">
        <v>1</v>
      </c>
      <c r="IB103" s="22">
        <v>1</v>
      </c>
      <c r="IC103" s="22">
        <v>1</v>
      </c>
      <c r="ID103" s="22">
        <v>1</v>
      </c>
      <c r="IE103" s="22">
        <v>1</v>
      </c>
      <c r="IF103" s="22">
        <v>1</v>
      </c>
      <c r="IG103" s="17"/>
      <c r="IH103" s="22">
        <v>1</v>
      </c>
      <c r="II103" s="17"/>
      <c r="IJ103" s="22">
        <v>1</v>
      </c>
      <c r="IK103" s="22">
        <v>1</v>
      </c>
      <c r="IL103" s="22">
        <v>1</v>
      </c>
      <c r="IM103" s="17"/>
      <c r="IN103" s="22">
        <v>1</v>
      </c>
      <c r="IO103" s="17"/>
      <c r="IP103" s="22">
        <v>1</v>
      </c>
      <c r="IQ103" s="17"/>
      <c r="IR103" s="17"/>
      <c r="IS103" s="17"/>
      <c r="IT103" s="22">
        <v>2</v>
      </c>
      <c r="IU103" s="17"/>
      <c r="IV103" s="22">
        <v>1</v>
      </c>
      <c r="IW103" s="17"/>
      <c r="IX103" s="22">
        <v>1</v>
      </c>
      <c r="IY103" s="22">
        <v>2</v>
      </c>
      <c r="IZ103" s="22">
        <v>1</v>
      </c>
      <c r="JA103" s="22">
        <v>1</v>
      </c>
      <c r="JB103" s="17"/>
      <c r="JC103" s="17"/>
      <c r="JD103" s="17"/>
      <c r="JE103" s="22">
        <v>1</v>
      </c>
      <c r="JF103" s="17"/>
      <c r="JG103" s="17"/>
      <c r="JH103" s="17"/>
      <c r="JI103" s="17"/>
      <c r="JJ103" s="22">
        <v>1</v>
      </c>
      <c r="JK103" s="22">
        <v>2</v>
      </c>
      <c r="JL103" s="22">
        <v>1</v>
      </c>
      <c r="JM103" s="22">
        <v>1</v>
      </c>
      <c r="JN103" s="22">
        <v>1</v>
      </c>
      <c r="JO103" s="17"/>
      <c r="JP103" s="17"/>
      <c r="JQ103" s="22">
        <v>2</v>
      </c>
      <c r="JR103" s="22">
        <v>1</v>
      </c>
      <c r="JS103" s="22">
        <v>1</v>
      </c>
      <c r="JT103" s="17"/>
      <c r="JU103" s="17"/>
      <c r="JV103" s="17"/>
      <c r="JW103" s="17"/>
      <c r="JX103" s="22">
        <v>1</v>
      </c>
      <c r="JY103" s="22">
        <v>1</v>
      </c>
      <c r="JZ103" s="22">
        <v>1</v>
      </c>
      <c r="KA103" s="22">
        <v>1</v>
      </c>
      <c r="KB103" s="22">
        <v>1</v>
      </c>
      <c r="KC103" s="22">
        <v>1</v>
      </c>
      <c r="KD103" s="22">
        <v>1</v>
      </c>
      <c r="KE103" s="22">
        <v>1</v>
      </c>
      <c r="KF103" s="22">
        <v>1</v>
      </c>
      <c r="KG103" s="22">
        <v>1</v>
      </c>
      <c r="KH103" s="22">
        <v>1</v>
      </c>
      <c r="KI103" s="22">
        <v>1</v>
      </c>
      <c r="KJ103" s="22">
        <v>1</v>
      </c>
      <c r="KK103" s="22">
        <v>1</v>
      </c>
      <c r="KL103" s="22">
        <v>1</v>
      </c>
      <c r="KM103" s="22">
        <v>1</v>
      </c>
      <c r="KN103" s="22">
        <v>1</v>
      </c>
      <c r="KO103" s="22">
        <v>1</v>
      </c>
      <c r="KP103" s="22">
        <v>1</v>
      </c>
      <c r="KQ103" s="22">
        <v>1</v>
      </c>
      <c r="KR103" s="22">
        <v>1</v>
      </c>
      <c r="KS103" s="17"/>
      <c r="KT103" s="22">
        <v>1</v>
      </c>
      <c r="KU103" s="17"/>
      <c r="KV103" s="17"/>
      <c r="KW103" s="17"/>
      <c r="KX103" s="22">
        <v>1</v>
      </c>
      <c r="KY103" s="22">
        <v>1</v>
      </c>
      <c r="KZ103" s="17"/>
      <c r="LA103" s="22">
        <v>1</v>
      </c>
      <c r="LB103" s="17"/>
      <c r="LC103" s="22">
        <v>1</v>
      </c>
      <c r="LD103" s="22">
        <v>1</v>
      </c>
      <c r="LE103" s="22">
        <v>1</v>
      </c>
      <c r="LF103" s="22">
        <v>1</v>
      </c>
      <c r="LG103" s="22">
        <v>1</v>
      </c>
      <c r="LH103" s="22">
        <v>1</v>
      </c>
      <c r="LI103" s="22">
        <v>1</v>
      </c>
      <c r="LJ103" s="22">
        <v>1</v>
      </c>
      <c r="LK103" s="22">
        <v>1</v>
      </c>
      <c r="LL103" s="22">
        <v>1</v>
      </c>
      <c r="LM103" s="22">
        <v>1</v>
      </c>
      <c r="LN103" s="22">
        <v>1</v>
      </c>
      <c r="LO103" s="22">
        <v>1</v>
      </c>
      <c r="LP103" s="22">
        <v>1</v>
      </c>
      <c r="LQ103" s="22">
        <v>1</v>
      </c>
      <c r="LR103" s="22">
        <v>1</v>
      </c>
      <c r="LS103" s="22">
        <v>1</v>
      </c>
      <c r="LT103" s="22">
        <v>1</v>
      </c>
      <c r="LU103" s="17"/>
      <c r="LV103" s="17"/>
      <c r="LW103" s="22">
        <v>1</v>
      </c>
      <c r="LX103" s="22">
        <v>1</v>
      </c>
      <c r="LY103" s="22">
        <v>1</v>
      </c>
      <c r="LZ103" s="22">
        <v>1</v>
      </c>
      <c r="MA103" s="22">
        <v>1</v>
      </c>
      <c r="MB103" s="22">
        <v>2</v>
      </c>
      <c r="MC103" s="22">
        <v>1</v>
      </c>
      <c r="MD103" s="22">
        <v>1</v>
      </c>
      <c r="ME103" s="22">
        <v>1</v>
      </c>
      <c r="MF103" s="22">
        <v>1</v>
      </c>
      <c r="MG103" s="22">
        <v>1</v>
      </c>
      <c r="MH103" s="22">
        <v>1</v>
      </c>
      <c r="MI103" s="22">
        <v>1</v>
      </c>
      <c r="MJ103" s="22">
        <v>1</v>
      </c>
      <c r="MK103" s="22">
        <v>2</v>
      </c>
      <c r="ML103" s="22">
        <v>1</v>
      </c>
      <c r="MM103" s="22">
        <v>1</v>
      </c>
      <c r="MN103" s="22">
        <v>1</v>
      </c>
      <c r="MO103" s="22">
        <v>1</v>
      </c>
      <c r="MP103" s="22">
        <v>1</v>
      </c>
      <c r="MQ103" s="22">
        <v>1</v>
      </c>
      <c r="MR103" s="22">
        <v>1</v>
      </c>
      <c r="MS103" s="22">
        <v>1</v>
      </c>
      <c r="MT103" s="22">
        <v>1</v>
      </c>
      <c r="MU103" s="22">
        <v>1</v>
      </c>
      <c r="MV103" s="22">
        <v>1</v>
      </c>
      <c r="MW103" s="22">
        <v>1</v>
      </c>
      <c r="MX103" s="22">
        <v>1</v>
      </c>
      <c r="MY103" s="22">
        <v>1</v>
      </c>
      <c r="MZ103" s="22">
        <v>1</v>
      </c>
      <c r="NA103" s="22">
        <v>1</v>
      </c>
      <c r="NB103" s="22">
        <v>1</v>
      </c>
      <c r="NC103" s="17"/>
      <c r="ND103" s="17"/>
      <c r="NE103" s="22">
        <v>1</v>
      </c>
      <c r="NF103" s="17"/>
      <c r="NG103" s="17"/>
      <c r="NH103" s="17"/>
      <c r="NI103" s="17"/>
      <c r="NJ103" s="22">
        <v>1</v>
      </c>
      <c r="NK103" s="22">
        <v>1</v>
      </c>
      <c r="NL103" s="17"/>
      <c r="NM103" s="17"/>
      <c r="NN103" s="17"/>
      <c r="NO103" s="17"/>
      <c r="NP103" s="17"/>
      <c r="NQ103" s="17"/>
      <c r="NR103" s="17"/>
      <c r="NS103" s="22">
        <v>1</v>
      </c>
      <c r="NT103" s="22">
        <v>1</v>
      </c>
      <c r="NU103" s="22">
        <v>2</v>
      </c>
      <c r="NV103" s="22">
        <v>2</v>
      </c>
      <c r="NW103" s="22">
        <v>1</v>
      </c>
      <c r="NX103" s="22">
        <v>1</v>
      </c>
      <c r="NY103" s="22">
        <v>1</v>
      </c>
      <c r="NZ103" s="17"/>
      <c r="OA103" s="22">
        <v>1</v>
      </c>
      <c r="OB103" s="17"/>
      <c r="OC103" s="17"/>
      <c r="OD103" s="17"/>
      <c r="OE103" s="17"/>
      <c r="OF103" s="17"/>
      <c r="OG103" s="22">
        <v>1</v>
      </c>
      <c r="OH103" s="22">
        <v>2</v>
      </c>
      <c r="OI103" s="17"/>
      <c r="OJ103" s="22">
        <v>1</v>
      </c>
      <c r="OK103" s="22">
        <v>1</v>
      </c>
      <c r="OL103" s="17"/>
      <c r="OM103" s="22">
        <v>1</v>
      </c>
      <c r="ON103" s="22">
        <v>1</v>
      </c>
      <c r="OO103" s="22">
        <v>1</v>
      </c>
      <c r="OP103" s="22">
        <v>1</v>
      </c>
      <c r="OQ103" s="22">
        <v>1</v>
      </c>
      <c r="OR103" s="22">
        <v>1</v>
      </c>
      <c r="OS103" s="22">
        <v>1</v>
      </c>
      <c r="OT103" s="22">
        <v>1</v>
      </c>
      <c r="OU103" s="22">
        <v>1</v>
      </c>
      <c r="OV103" s="22">
        <v>1</v>
      </c>
      <c r="OW103" s="22">
        <v>1</v>
      </c>
      <c r="OX103" s="17"/>
      <c r="OY103" s="22">
        <v>2</v>
      </c>
      <c r="OZ103" s="17"/>
      <c r="PA103" s="22">
        <v>1</v>
      </c>
      <c r="PB103" s="22">
        <v>1</v>
      </c>
      <c r="PC103" s="17"/>
      <c r="PD103" s="22">
        <v>1</v>
      </c>
      <c r="PE103" s="17"/>
      <c r="PF103" s="22">
        <v>1</v>
      </c>
      <c r="PG103" s="22">
        <v>1</v>
      </c>
      <c r="PH103" s="22">
        <v>1</v>
      </c>
      <c r="PI103" s="22">
        <v>1</v>
      </c>
      <c r="PJ103" s="22">
        <v>1</v>
      </c>
      <c r="PK103" s="22">
        <v>1</v>
      </c>
      <c r="PL103" s="22">
        <v>1</v>
      </c>
      <c r="PM103" s="22">
        <v>1</v>
      </c>
      <c r="PN103" s="22">
        <v>2</v>
      </c>
      <c r="PO103" s="22">
        <v>1</v>
      </c>
      <c r="PP103" s="17"/>
      <c r="PQ103" s="22">
        <v>1</v>
      </c>
      <c r="PR103" s="17"/>
      <c r="PS103" s="17"/>
      <c r="PT103" s="17"/>
      <c r="PU103" s="17"/>
      <c r="PV103" s="22">
        <v>1</v>
      </c>
      <c r="PW103" s="22" t="s">
        <v>506</v>
      </c>
      <c r="PX103" s="22" t="s">
        <v>506</v>
      </c>
      <c r="PY103" s="22" t="s">
        <v>506</v>
      </c>
      <c r="PZ103" s="22" t="s">
        <v>506</v>
      </c>
      <c r="QA103" s="22" t="s">
        <v>506</v>
      </c>
      <c r="QB103" s="22" t="s">
        <v>506</v>
      </c>
      <c r="QC103" s="22" t="s">
        <v>508</v>
      </c>
      <c r="QD103" s="22" t="s">
        <v>507</v>
      </c>
      <c r="QE103" s="22" t="s">
        <v>506</v>
      </c>
      <c r="QF103" s="22" t="s">
        <v>507</v>
      </c>
      <c r="QG103" s="22" t="s">
        <v>506</v>
      </c>
      <c r="QH103" s="22" t="s">
        <v>507</v>
      </c>
      <c r="QI103" s="22">
        <v>1</v>
      </c>
      <c r="QJ103" s="22">
        <v>1</v>
      </c>
      <c r="QK103" s="22">
        <v>1</v>
      </c>
      <c r="QL103" s="22">
        <v>1</v>
      </c>
      <c r="QM103" s="22">
        <v>1</v>
      </c>
      <c r="QN103" s="22">
        <v>1</v>
      </c>
      <c r="QO103" s="22">
        <v>1</v>
      </c>
      <c r="QP103" s="22">
        <v>1</v>
      </c>
      <c r="QQ103" s="22">
        <v>1</v>
      </c>
      <c r="QR103" s="22">
        <v>1</v>
      </c>
      <c r="QS103" s="22">
        <v>1</v>
      </c>
      <c r="QT103" s="22">
        <v>1</v>
      </c>
      <c r="QU103" s="22">
        <v>1</v>
      </c>
      <c r="QV103" s="22">
        <v>1</v>
      </c>
      <c r="QW103" s="22">
        <v>0</v>
      </c>
      <c r="QX103" s="22">
        <v>1</v>
      </c>
      <c r="QY103" s="22">
        <v>0</v>
      </c>
      <c r="QZ103" s="22">
        <v>1</v>
      </c>
      <c r="RA103" s="22">
        <v>0</v>
      </c>
      <c r="RB103" s="22">
        <v>1</v>
      </c>
      <c r="RC103" s="22">
        <v>1</v>
      </c>
      <c r="RD103" s="22">
        <v>0</v>
      </c>
      <c r="RE103" s="22">
        <v>1</v>
      </c>
      <c r="RF103" s="22">
        <v>0</v>
      </c>
      <c r="RG103" s="22">
        <v>0</v>
      </c>
      <c r="RH103" s="22">
        <v>0</v>
      </c>
      <c r="RI103" s="22">
        <v>0</v>
      </c>
      <c r="RJ103" s="22">
        <v>0</v>
      </c>
      <c r="RK103" s="22">
        <v>1</v>
      </c>
      <c r="RL103" s="22">
        <v>0</v>
      </c>
      <c r="RM103" s="22">
        <v>0</v>
      </c>
      <c r="RN103" s="22">
        <v>1</v>
      </c>
      <c r="RO103" s="22">
        <v>0</v>
      </c>
      <c r="RP103" s="22">
        <v>0</v>
      </c>
      <c r="RQ103" s="22">
        <v>1</v>
      </c>
      <c r="RR103" s="22">
        <v>0</v>
      </c>
      <c r="RS103" s="22">
        <v>0</v>
      </c>
      <c r="RT103" s="22">
        <v>1</v>
      </c>
      <c r="RU103" s="22">
        <v>0</v>
      </c>
      <c r="RV103" s="22">
        <v>0</v>
      </c>
      <c r="RW103" s="22">
        <v>1</v>
      </c>
      <c r="RX103" s="22">
        <v>1</v>
      </c>
      <c r="RY103" s="22">
        <v>0</v>
      </c>
      <c r="RZ103" s="22">
        <v>0</v>
      </c>
      <c r="SA103" s="22">
        <v>1</v>
      </c>
      <c r="SB103" s="22">
        <v>1</v>
      </c>
      <c r="SC103" s="22">
        <v>0</v>
      </c>
      <c r="SD103" s="22">
        <v>1</v>
      </c>
      <c r="SE103" s="22">
        <v>1</v>
      </c>
      <c r="SF103" s="22">
        <v>1</v>
      </c>
      <c r="SG103" s="22">
        <v>1</v>
      </c>
      <c r="SH103" s="22">
        <v>0</v>
      </c>
      <c r="SI103" s="22">
        <v>10105</v>
      </c>
      <c r="SJ103" s="19">
        <f t="shared" si="7"/>
        <v>223</v>
      </c>
      <c r="SK103" s="19">
        <f t="shared" si="8"/>
        <v>249</v>
      </c>
      <c r="SL103" s="19">
        <f t="shared" si="9"/>
        <v>26</v>
      </c>
      <c r="SM103" s="9">
        <v>10105</v>
      </c>
      <c r="SN103" s="9" t="s">
        <v>509</v>
      </c>
      <c r="SO103" s="10">
        <v>1</v>
      </c>
      <c r="SP103" s="9">
        <v>1</v>
      </c>
      <c r="SQ103" s="11" t="s">
        <v>517</v>
      </c>
      <c r="SR103" s="9">
        <v>16</v>
      </c>
      <c r="SS103" s="28">
        <v>53</v>
      </c>
      <c r="ST103" s="28">
        <v>17</v>
      </c>
      <c r="SU103" s="28">
        <v>186</v>
      </c>
      <c r="SV103" s="28">
        <v>29</v>
      </c>
      <c r="SW103" s="28">
        <v>19</v>
      </c>
      <c r="SX103" s="28">
        <v>12</v>
      </c>
      <c r="SY103" s="29">
        <v>40</v>
      </c>
      <c r="SZ103" s="30">
        <v>20</v>
      </c>
      <c r="TA103" s="31">
        <v>19</v>
      </c>
      <c r="TB103" s="31">
        <v>20</v>
      </c>
    </row>
    <row r="104" spans="1:522" ht="15.75" customHeight="1" x14ac:dyDescent="0.2">
      <c r="A104" s="22">
        <v>10106</v>
      </c>
      <c r="B104" s="22" t="s">
        <v>501</v>
      </c>
      <c r="C104" s="22" t="s">
        <v>502</v>
      </c>
      <c r="D104" s="22" t="s">
        <v>535</v>
      </c>
      <c r="E104" s="22" t="s">
        <v>509</v>
      </c>
      <c r="F104" s="23">
        <v>39257</v>
      </c>
      <c r="G104" s="23">
        <v>39834</v>
      </c>
      <c r="H104" s="14">
        <f t="shared" si="6"/>
        <v>18</v>
      </c>
      <c r="I104" s="22" t="s">
        <v>536</v>
      </c>
      <c r="J104" s="22">
        <v>1</v>
      </c>
      <c r="K104" s="22">
        <v>1</v>
      </c>
      <c r="L104" s="22">
        <v>1</v>
      </c>
      <c r="M104" s="22">
        <v>1</v>
      </c>
      <c r="N104" s="22">
        <v>1</v>
      </c>
      <c r="O104" s="17"/>
      <c r="P104" s="17"/>
      <c r="Q104" s="22">
        <v>1</v>
      </c>
      <c r="R104" s="22">
        <v>1</v>
      </c>
      <c r="S104" s="22">
        <v>1</v>
      </c>
      <c r="T104" s="22">
        <v>1</v>
      </c>
      <c r="U104" s="22">
        <v>1</v>
      </c>
      <c r="V104" s="22">
        <v>1</v>
      </c>
      <c r="W104" s="22">
        <v>1</v>
      </c>
      <c r="X104" s="17"/>
      <c r="Y104" s="22">
        <v>1</v>
      </c>
      <c r="Z104" s="22">
        <v>1</v>
      </c>
      <c r="AA104" s="22">
        <v>1</v>
      </c>
      <c r="AB104" s="22">
        <v>1</v>
      </c>
      <c r="AC104" s="17"/>
      <c r="AD104" s="17"/>
      <c r="AE104" s="17"/>
      <c r="AF104" s="17"/>
      <c r="AG104" s="17"/>
      <c r="AH104" s="17"/>
      <c r="AI104" s="22">
        <v>1</v>
      </c>
      <c r="AJ104" s="17"/>
      <c r="AK104" s="17"/>
      <c r="AL104" s="17"/>
      <c r="AM104" s="17"/>
      <c r="AN104" s="17"/>
      <c r="AO104" s="22" t="s">
        <v>508</v>
      </c>
      <c r="AP104" s="22" t="s">
        <v>508</v>
      </c>
      <c r="AQ104" s="17"/>
      <c r="AR104" s="17"/>
      <c r="AS104" s="17"/>
      <c r="AT104" s="17"/>
      <c r="AU104" s="17"/>
      <c r="AV104" s="17"/>
      <c r="AW104" s="22">
        <v>1</v>
      </c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22">
        <v>1</v>
      </c>
      <c r="BI104" s="22">
        <v>1</v>
      </c>
      <c r="BJ104" s="22">
        <v>1</v>
      </c>
      <c r="BK104" s="17"/>
      <c r="BL104" s="17"/>
      <c r="BM104" s="17"/>
      <c r="BN104" s="22">
        <v>1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22">
        <v>1</v>
      </c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22">
        <v>1</v>
      </c>
      <c r="CN104" s="17"/>
      <c r="CO104" s="17"/>
      <c r="CP104" s="17"/>
      <c r="CQ104" s="17"/>
      <c r="CR104" s="17"/>
      <c r="CS104" s="17"/>
      <c r="CT104" s="17"/>
      <c r="CU104" s="22">
        <v>1</v>
      </c>
      <c r="CV104" s="22">
        <v>1</v>
      </c>
      <c r="CW104" s="22">
        <v>1</v>
      </c>
      <c r="CX104" s="22">
        <v>1</v>
      </c>
      <c r="CY104" s="22">
        <v>1</v>
      </c>
      <c r="CZ104" s="22">
        <v>1</v>
      </c>
      <c r="DA104" s="17"/>
      <c r="DB104" s="17"/>
      <c r="DC104" s="17"/>
      <c r="DD104" s="22">
        <v>1</v>
      </c>
      <c r="DE104" s="17"/>
      <c r="DF104" s="17"/>
      <c r="DG104" s="17"/>
      <c r="DH104" s="17"/>
      <c r="DI104" s="17"/>
      <c r="DJ104" s="22">
        <v>1</v>
      </c>
      <c r="DK104" s="22">
        <v>1</v>
      </c>
      <c r="DL104" s="17"/>
      <c r="DM104" s="22">
        <v>1</v>
      </c>
      <c r="DN104" s="17"/>
      <c r="DO104" s="17"/>
      <c r="DP104" s="22">
        <v>1</v>
      </c>
      <c r="DQ104" s="17"/>
      <c r="DR104" s="17"/>
      <c r="DS104" s="17"/>
      <c r="DT104" s="17"/>
      <c r="DU104" s="17"/>
      <c r="DV104" s="22">
        <v>1</v>
      </c>
      <c r="DW104" s="17"/>
      <c r="DX104" s="17"/>
      <c r="DY104" s="22">
        <v>1</v>
      </c>
      <c r="DZ104" s="17"/>
      <c r="EA104" s="17"/>
      <c r="EB104" s="17"/>
      <c r="EC104" s="17"/>
      <c r="ED104" s="17"/>
      <c r="EE104" s="17"/>
      <c r="EF104" s="17"/>
      <c r="EG104" s="22">
        <v>1</v>
      </c>
      <c r="EH104" s="17"/>
      <c r="EI104" s="17"/>
      <c r="EJ104" s="17"/>
      <c r="EK104" s="17"/>
      <c r="EL104" s="17"/>
      <c r="EM104" s="22">
        <v>1</v>
      </c>
      <c r="EN104" s="17"/>
      <c r="EO104" s="22">
        <v>1</v>
      </c>
      <c r="EP104" s="22">
        <v>1</v>
      </c>
      <c r="EQ104" s="17"/>
      <c r="ER104" s="22">
        <v>1</v>
      </c>
      <c r="ES104" s="22">
        <v>1</v>
      </c>
      <c r="ET104" s="17"/>
      <c r="EU104" s="17"/>
      <c r="EV104" s="22">
        <v>1</v>
      </c>
      <c r="EW104" s="17"/>
      <c r="EX104" s="22">
        <v>1</v>
      </c>
      <c r="EY104" s="17"/>
      <c r="EZ104" s="17"/>
      <c r="FA104" s="22">
        <v>1</v>
      </c>
      <c r="FB104" s="22">
        <v>1</v>
      </c>
      <c r="FC104" s="22">
        <v>1</v>
      </c>
      <c r="FD104" s="22">
        <v>1</v>
      </c>
      <c r="FE104" s="22">
        <v>1</v>
      </c>
      <c r="FF104" s="22">
        <v>1</v>
      </c>
      <c r="FG104" s="22">
        <v>1</v>
      </c>
      <c r="FH104" s="22">
        <v>1</v>
      </c>
      <c r="FI104" s="22">
        <v>1</v>
      </c>
      <c r="FJ104" s="22">
        <v>1</v>
      </c>
      <c r="FK104" s="22">
        <v>1</v>
      </c>
      <c r="FL104" s="17"/>
      <c r="FM104" s="22">
        <v>1</v>
      </c>
      <c r="FN104" s="22">
        <v>1</v>
      </c>
      <c r="FO104" s="22">
        <v>1</v>
      </c>
      <c r="FP104" s="17"/>
      <c r="FQ104" s="22">
        <v>1</v>
      </c>
      <c r="FR104" s="22">
        <v>1</v>
      </c>
      <c r="FS104" s="22">
        <v>1</v>
      </c>
      <c r="FT104" s="22">
        <v>1</v>
      </c>
      <c r="FU104" s="17"/>
      <c r="FV104" s="17"/>
      <c r="FW104" s="17"/>
      <c r="FX104" s="17"/>
      <c r="FY104" s="17"/>
      <c r="FZ104" s="17"/>
      <c r="GA104" s="17"/>
      <c r="GB104" s="22">
        <v>1</v>
      </c>
      <c r="GC104" s="17"/>
      <c r="GD104" s="17"/>
      <c r="GE104" s="17"/>
      <c r="GF104" s="22">
        <v>1</v>
      </c>
      <c r="GG104" s="17"/>
      <c r="GH104" s="17"/>
      <c r="GI104" s="22">
        <v>1</v>
      </c>
      <c r="GJ104" s="17"/>
      <c r="GK104" s="17"/>
      <c r="GL104" s="17"/>
      <c r="GM104" s="17"/>
      <c r="GN104" s="22">
        <v>1</v>
      </c>
      <c r="GO104" s="17"/>
      <c r="GP104" s="17"/>
      <c r="GQ104" s="17"/>
      <c r="GR104" s="17"/>
      <c r="GS104" s="17"/>
      <c r="GT104" s="17"/>
      <c r="GU104" s="17"/>
      <c r="GV104" s="17"/>
      <c r="GW104" s="22">
        <v>1</v>
      </c>
      <c r="GX104" s="22">
        <v>1</v>
      </c>
      <c r="GY104" s="22">
        <v>1</v>
      </c>
      <c r="GZ104" s="22">
        <v>1</v>
      </c>
      <c r="HA104" s="17"/>
      <c r="HB104" s="22">
        <v>1</v>
      </c>
      <c r="HC104" s="17"/>
      <c r="HD104" s="22">
        <v>1</v>
      </c>
      <c r="HE104" s="22">
        <v>1</v>
      </c>
      <c r="HF104" s="22">
        <v>1</v>
      </c>
      <c r="HG104" s="22">
        <v>1</v>
      </c>
      <c r="HH104" s="22">
        <v>1</v>
      </c>
      <c r="HI104" s="22">
        <v>1</v>
      </c>
      <c r="HJ104" s="17"/>
      <c r="HK104" s="17"/>
      <c r="HL104" s="22">
        <v>1</v>
      </c>
      <c r="HM104" s="17"/>
      <c r="HN104" s="17"/>
      <c r="HO104" s="17"/>
      <c r="HP104" s="22">
        <v>1</v>
      </c>
      <c r="HQ104" s="17"/>
      <c r="HR104" s="22">
        <v>1</v>
      </c>
      <c r="HS104" s="17"/>
      <c r="HT104" s="22">
        <v>1</v>
      </c>
      <c r="HU104" s="22">
        <v>1</v>
      </c>
      <c r="HV104" s="22">
        <v>1</v>
      </c>
      <c r="HW104" s="17"/>
      <c r="HX104" s="17"/>
      <c r="HY104" s="17"/>
      <c r="HZ104" s="17"/>
      <c r="IA104" s="22">
        <v>1</v>
      </c>
      <c r="IB104" s="22">
        <v>1</v>
      </c>
      <c r="IC104" s="17"/>
      <c r="ID104" s="17"/>
      <c r="IE104" s="17"/>
      <c r="IF104" s="17"/>
      <c r="IG104" s="17"/>
      <c r="IH104" s="17"/>
      <c r="II104" s="17"/>
      <c r="IJ104" s="17"/>
      <c r="IK104" s="22">
        <v>1</v>
      </c>
      <c r="IL104" s="22">
        <v>1</v>
      </c>
      <c r="IM104" s="17"/>
      <c r="IN104" s="17"/>
      <c r="IO104" s="17"/>
      <c r="IP104" s="17"/>
      <c r="IQ104" s="17"/>
      <c r="IR104" s="17"/>
      <c r="IS104" s="22">
        <v>1</v>
      </c>
      <c r="IT104" s="17"/>
      <c r="IU104" s="17"/>
      <c r="IV104" s="17"/>
      <c r="IW104" s="17"/>
      <c r="IX104" s="17"/>
      <c r="IY104" s="22">
        <v>1</v>
      </c>
      <c r="IZ104" s="17"/>
      <c r="JA104" s="17"/>
      <c r="JB104" s="17"/>
      <c r="JC104" s="17"/>
      <c r="JD104" s="17"/>
      <c r="JE104" s="22">
        <v>1</v>
      </c>
      <c r="JF104" s="17"/>
      <c r="JG104" s="17"/>
      <c r="JH104" s="17"/>
      <c r="JI104" s="17"/>
      <c r="JJ104" s="17"/>
      <c r="JK104" s="22">
        <v>1</v>
      </c>
      <c r="JL104" s="17"/>
      <c r="JM104" s="22">
        <v>1</v>
      </c>
      <c r="JN104" s="22">
        <v>1</v>
      </c>
      <c r="JO104" s="17"/>
      <c r="JP104" s="17"/>
      <c r="JQ104" s="22">
        <v>1</v>
      </c>
      <c r="JR104" s="22">
        <v>1</v>
      </c>
      <c r="JS104" s="17"/>
      <c r="JT104" s="17"/>
      <c r="JU104" s="17"/>
      <c r="JV104" s="17"/>
      <c r="JW104" s="17"/>
      <c r="JX104" s="17"/>
      <c r="JY104" s="17"/>
      <c r="JZ104" s="22">
        <v>1</v>
      </c>
      <c r="KA104" s="17"/>
      <c r="KB104" s="17"/>
      <c r="KC104" s="22">
        <v>1</v>
      </c>
      <c r="KD104" s="17"/>
      <c r="KE104" s="17"/>
      <c r="KF104" s="22">
        <v>1</v>
      </c>
      <c r="KG104" s="17"/>
      <c r="KH104" s="22">
        <v>1</v>
      </c>
      <c r="KI104" s="17"/>
      <c r="KJ104" s="17"/>
      <c r="KK104" s="22">
        <v>1</v>
      </c>
      <c r="KL104" s="17"/>
      <c r="KM104" s="22">
        <v>1</v>
      </c>
      <c r="KN104" s="17"/>
      <c r="KO104" s="17"/>
      <c r="KP104" s="22">
        <v>1</v>
      </c>
      <c r="KQ104" s="17"/>
      <c r="KR104" s="22">
        <v>1</v>
      </c>
      <c r="KS104" s="17"/>
      <c r="KT104" s="22">
        <v>1</v>
      </c>
      <c r="KU104" s="17"/>
      <c r="KV104" s="22">
        <v>1</v>
      </c>
      <c r="KW104" s="22">
        <v>1</v>
      </c>
      <c r="KX104" s="17"/>
      <c r="KY104" s="22">
        <v>1</v>
      </c>
      <c r="KZ104" s="22">
        <v>1</v>
      </c>
      <c r="LA104" s="22">
        <v>1</v>
      </c>
      <c r="LB104" s="22">
        <v>1</v>
      </c>
      <c r="LC104" s="22">
        <v>1</v>
      </c>
      <c r="LD104" s="17"/>
      <c r="LE104" s="22">
        <v>1</v>
      </c>
      <c r="LF104" s="22">
        <v>1</v>
      </c>
      <c r="LG104" s="22">
        <v>1</v>
      </c>
      <c r="LH104" s="22">
        <v>1</v>
      </c>
      <c r="LI104" s="17"/>
      <c r="LJ104" s="22">
        <v>1</v>
      </c>
      <c r="LK104" s="22">
        <v>1</v>
      </c>
      <c r="LL104" s="22">
        <v>1</v>
      </c>
      <c r="LM104" s="17"/>
      <c r="LN104" s="17"/>
      <c r="LO104" s="17"/>
      <c r="LP104" s="22">
        <v>1</v>
      </c>
      <c r="LQ104" s="22">
        <v>1</v>
      </c>
      <c r="LR104" s="17"/>
      <c r="LS104" s="22">
        <v>1</v>
      </c>
      <c r="LT104" s="17"/>
      <c r="LU104" s="17"/>
      <c r="LV104" s="17"/>
      <c r="LW104" s="17"/>
      <c r="LX104" s="22">
        <v>1</v>
      </c>
      <c r="LY104" s="22">
        <v>1</v>
      </c>
      <c r="LZ104" s="17"/>
      <c r="MA104" s="17"/>
      <c r="MB104" s="17"/>
      <c r="MC104" s="17"/>
      <c r="MD104" s="17"/>
      <c r="ME104" s="17"/>
      <c r="MF104" s="17"/>
      <c r="MG104" s="17"/>
      <c r="MH104" s="22">
        <v>1</v>
      </c>
      <c r="MI104" s="17"/>
      <c r="MJ104" s="17"/>
      <c r="MK104" s="17"/>
      <c r="ML104" s="22">
        <v>1</v>
      </c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22">
        <v>1</v>
      </c>
      <c r="NC104" s="17"/>
      <c r="ND104" s="17"/>
      <c r="NE104" s="17"/>
      <c r="NF104" s="17"/>
      <c r="NG104" s="17"/>
      <c r="NH104" s="22">
        <v>1</v>
      </c>
      <c r="NI104" s="17"/>
      <c r="NJ104" s="22">
        <v>1</v>
      </c>
      <c r="NK104" s="17"/>
      <c r="NL104" s="17"/>
      <c r="NM104" s="22">
        <v>1</v>
      </c>
      <c r="NN104" s="17"/>
      <c r="NO104" s="17"/>
      <c r="NP104" s="17"/>
      <c r="NQ104" s="17"/>
      <c r="NR104" s="17"/>
      <c r="NS104" s="17"/>
      <c r="NT104" s="17"/>
      <c r="NU104" s="17"/>
      <c r="NV104" s="22">
        <v>1</v>
      </c>
      <c r="NW104" s="17"/>
      <c r="NX104" s="17"/>
      <c r="NY104" s="17"/>
      <c r="NZ104" s="17"/>
      <c r="OA104" s="17"/>
      <c r="OB104" s="17"/>
      <c r="OC104" s="17"/>
      <c r="OD104" s="22">
        <v>1</v>
      </c>
      <c r="OE104" s="17"/>
      <c r="OF104" s="17"/>
      <c r="OG104" s="17"/>
      <c r="OH104" s="17"/>
      <c r="OI104" s="17"/>
      <c r="OJ104" s="17"/>
      <c r="OK104" s="17"/>
      <c r="OL104" s="22">
        <v>1</v>
      </c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22" t="s">
        <v>506</v>
      </c>
      <c r="PY104" s="22" t="s">
        <v>506</v>
      </c>
      <c r="PZ104" s="22" t="s">
        <v>507</v>
      </c>
      <c r="QA104" s="22" t="s">
        <v>506</v>
      </c>
      <c r="QB104" s="22" t="s">
        <v>506</v>
      </c>
      <c r="QC104" s="22" t="s">
        <v>508</v>
      </c>
      <c r="QD104" s="22" t="s">
        <v>508</v>
      </c>
      <c r="QE104" s="22" t="s">
        <v>507</v>
      </c>
      <c r="QF104" s="22" t="s">
        <v>506</v>
      </c>
      <c r="QG104" s="22" t="s">
        <v>508</v>
      </c>
      <c r="QH104" s="22" t="s">
        <v>506</v>
      </c>
      <c r="QI104" s="22">
        <v>0</v>
      </c>
      <c r="QJ104" s="22">
        <v>0</v>
      </c>
      <c r="QK104" s="22">
        <v>0</v>
      </c>
      <c r="QL104" s="22">
        <v>1</v>
      </c>
      <c r="QM104" s="22">
        <v>1</v>
      </c>
      <c r="QN104" s="22">
        <v>1</v>
      </c>
      <c r="QO104" s="22">
        <v>1</v>
      </c>
      <c r="QP104" s="22">
        <v>1</v>
      </c>
      <c r="QQ104" s="22">
        <v>1</v>
      </c>
      <c r="QR104" s="22">
        <v>1</v>
      </c>
      <c r="QS104" s="22">
        <v>0</v>
      </c>
      <c r="QT104" s="22">
        <v>1</v>
      </c>
      <c r="QU104" s="22">
        <v>0</v>
      </c>
      <c r="QV104" s="22">
        <v>1</v>
      </c>
      <c r="QW104" s="22">
        <v>0</v>
      </c>
      <c r="QX104" s="22">
        <v>1</v>
      </c>
      <c r="QY104" s="22">
        <v>0</v>
      </c>
      <c r="QZ104" s="22">
        <v>1</v>
      </c>
      <c r="RA104" s="22">
        <v>1</v>
      </c>
      <c r="RB104" s="22">
        <v>0</v>
      </c>
      <c r="RC104" s="22">
        <v>1</v>
      </c>
      <c r="RD104" s="22">
        <v>0</v>
      </c>
      <c r="RE104" s="22">
        <v>1</v>
      </c>
      <c r="RF104" s="22">
        <v>1</v>
      </c>
      <c r="RG104" s="22">
        <v>2</v>
      </c>
      <c r="RH104" s="22">
        <v>1</v>
      </c>
      <c r="RI104" s="22">
        <v>2</v>
      </c>
      <c r="RJ104" s="22">
        <v>2</v>
      </c>
      <c r="RK104" s="22">
        <v>2</v>
      </c>
      <c r="RL104" s="22">
        <v>2</v>
      </c>
      <c r="RM104" s="22">
        <v>2</v>
      </c>
      <c r="RN104" s="22">
        <v>2</v>
      </c>
      <c r="RO104" s="22">
        <v>2</v>
      </c>
      <c r="RP104" s="22">
        <v>2</v>
      </c>
      <c r="RQ104" s="22">
        <v>2</v>
      </c>
      <c r="RR104" s="22">
        <v>2</v>
      </c>
      <c r="RS104" s="22">
        <v>1</v>
      </c>
      <c r="RT104" s="22">
        <v>1</v>
      </c>
      <c r="RU104" s="22">
        <v>1</v>
      </c>
      <c r="RV104" s="22">
        <v>0</v>
      </c>
      <c r="RW104" s="22">
        <v>1</v>
      </c>
      <c r="RX104" s="22">
        <v>1</v>
      </c>
      <c r="RY104" s="22">
        <v>0</v>
      </c>
      <c r="RZ104" s="22">
        <v>0</v>
      </c>
      <c r="SA104" s="22">
        <v>0</v>
      </c>
      <c r="SB104" s="22">
        <v>1</v>
      </c>
      <c r="SC104" s="22">
        <v>0</v>
      </c>
      <c r="SD104" s="22">
        <v>1</v>
      </c>
      <c r="SE104" s="22">
        <v>1</v>
      </c>
      <c r="SF104" s="22">
        <v>0</v>
      </c>
      <c r="SG104" s="22">
        <v>1</v>
      </c>
      <c r="SH104" s="22">
        <v>0</v>
      </c>
      <c r="SI104" s="22">
        <v>10106</v>
      </c>
      <c r="SJ104" s="19">
        <f t="shared" si="7"/>
        <v>116</v>
      </c>
      <c r="SK104" s="19">
        <f t="shared" si="8"/>
        <v>116</v>
      </c>
      <c r="SL104" s="19">
        <f t="shared" si="9"/>
        <v>0</v>
      </c>
      <c r="SM104" s="9">
        <v>10106</v>
      </c>
      <c r="SN104" s="9" t="s">
        <v>509</v>
      </c>
      <c r="SO104" s="10">
        <v>1</v>
      </c>
      <c r="SP104" s="9">
        <v>1</v>
      </c>
      <c r="SQ104" s="11" t="s">
        <v>517</v>
      </c>
      <c r="SR104" s="9">
        <v>17</v>
      </c>
      <c r="SS104" s="28">
        <v>55.5</v>
      </c>
      <c r="ST104" s="28">
        <v>17</v>
      </c>
      <c r="SU104" s="28">
        <v>113</v>
      </c>
      <c r="SV104" s="28">
        <v>13</v>
      </c>
      <c r="SW104" s="28">
        <v>0</v>
      </c>
      <c r="SX104" s="28">
        <v>0</v>
      </c>
      <c r="SY104" s="29">
        <v>35</v>
      </c>
      <c r="SZ104" s="30">
        <v>12</v>
      </c>
      <c r="TA104" s="31">
        <v>12</v>
      </c>
      <c r="TB104" s="31">
        <v>8</v>
      </c>
    </row>
    <row r="105" spans="1:522" ht="15.75" customHeight="1" x14ac:dyDescent="0.2">
      <c r="A105" s="22">
        <v>10107</v>
      </c>
      <c r="B105" s="22" t="s">
        <v>501</v>
      </c>
      <c r="C105" s="22" t="s">
        <v>502</v>
      </c>
      <c r="D105" s="22" t="s">
        <v>535</v>
      </c>
      <c r="E105" s="22" t="s">
        <v>504</v>
      </c>
      <c r="F105" s="23">
        <v>39263</v>
      </c>
      <c r="G105" s="23">
        <v>39826</v>
      </c>
      <c r="H105" s="14">
        <f t="shared" si="6"/>
        <v>18</v>
      </c>
      <c r="I105" s="17" t="s">
        <v>505</v>
      </c>
      <c r="J105" s="22">
        <v>1</v>
      </c>
      <c r="K105" s="22">
        <v>1</v>
      </c>
      <c r="L105" s="22">
        <v>1</v>
      </c>
      <c r="M105" s="22">
        <v>1</v>
      </c>
      <c r="N105" s="22">
        <v>1</v>
      </c>
      <c r="O105" s="22">
        <v>1</v>
      </c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22">
        <v>1</v>
      </c>
      <c r="V105" s="22">
        <v>1</v>
      </c>
      <c r="W105" s="22">
        <v>1</v>
      </c>
      <c r="X105" s="22">
        <v>1</v>
      </c>
      <c r="Y105" s="22">
        <v>1</v>
      </c>
      <c r="Z105" s="22">
        <v>1</v>
      </c>
      <c r="AA105" s="22">
        <v>1</v>
      </c>
      <c r="AB105" s="22">
        <v>1</v>
      </c>
      <c r="AC105" s="22">
        <v>1</v>
      </c>
      <c r="AD105" s="17"/>
      <c r="AE105" s="22">
        <v>1</v>
      </c>
      <c r="AF105" s="22">
        <v>1</v>
      </c>
      <c r="AG105" s="17"/>
      <c r="AH105" s="22">
        <v>1</v>
      </c>
      <c r="AI105" s="17"/>
      <c r="AJ105" s="22">
        <v>1</v>
      </c>
      <c r="AK105" s="22">
        <v>1</v>
      </c>
      <c r="AL105" s="22">
        <v>1</v>
      </c>
      <c r="AM105" s="17"/>
      <c r="AN105" s="22">
        <v>1</v>
      </c>
      <c r="AO105" s="22" t="s">
        <v>506</v>
      </c>
      <c r="AP105" s="22" t="s">
        <v>506</v>
      </c>
      <c r="AQ105" s="17"/>
      <c r="AR105" s="17"/>
      <c r="AS105" s="17"/>
      <c r="AT105" s="17"/>
      <c r="AU105" s="17"/>
      <c r="AV105" s="17"/>
      <c r="AW105" s="17"/>
      <c r="AX105" s="17"/>
      <c r="AY105" s="22">
        <v>2</v>
      </c>
      <c r="AZ105" s="17"/>
      <c r="BA105" s="17"/>
      <c r="BB105" s="22">
        <v>2</v>
      </c>
      <c r="BC105" s="17"/>
      <c r="BD105" s="17"/>
      <c r="BE105" s="17"/>
      <c r="BF105" s="22">
        <v>1</v>
      </c>
      <c r="BG105" s="17"/>
      <c r="BH105" s="22">
        <v>1</v>
      </c>
      <c r="BI105" s="17"/>
      <c r="BJ105" s="22">
        <v>1</v>
      </c>
      <c r="BK105" s="17"/>
      <c r="BL105" s="17"/>
      <c r="BM105" s="17"/>
      <c r="BN105" s="22">
        <v>2</v>
      </c>
      <c r="BO105" s="17"/>
      <c r="BP105" s="17"/>
      <c r="BQ105" s="17"/>
      <c r="BR105" s="17"/>
      <c r="BS105" s="22">
        <v>1</v>
      </c>
      <c r="BT105" s="17"/>
      <c r="BU105" s="17"/>
      <c r="BV105" s="17"/>
      <c r="BW105" s="22">
        <v>1</v>
      </c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22">
        <v>1</v>
      </c>
      <c r="CN105" s="17"/>
      <c r="CO105" s="22">
        <v>1</v>
      </c>
      <c r="CP105" s="22">
        <v>1</v>
      </c>
      <c r="CQ105" s="17"/>
      <c r="CR105" s="17"/>
      <c r="CS105" s="22">
        <v>1</v>
      </c>
      <c r="CT105" s="22">
        <v>1</v>
      </c>
      <c r="CU105" s="22">
        <v>1</v>
      </c>
      <c r="CV105" s="22">
        <v>2</v>
      </c>
      <c r="CW105" s="22">
        <v>2</v>
      </c>
      <c r="CX105" s="17"/>
      <c r="CY105" s="22">
        <v>1</v>
      </c>
      <c r="CZ105" s="22">
        <v>2</v>
      </c>
      <c r="DA105" s="17"/>
      <c r="DB105" s="17"/>
      <c r="DC105" s="22">
        <v>1</v>
      </c>
      <c r="DD105" s="22">
        <v>2</v>
      </c>
      <c r="DE105" s="22">
        <v>1</v>
      </c>
      <c r="DF105" s="22">
        <v>1</v>
      </c>
      <c r="DG105" s="17"/>
      <c r="DH105" s="17"/>
      <c r="DI105" s="17"/>
      <c r="DJ105" s="22">
        <v>1</v>
      </c>
      <c r="DK105" s="22">
        <v>1</v>
      </c>
      <c r="DL105" s="22">
        <v>1</v>
      </c>
      <c r="DM105" s="22">
        <v>1</v>
      </c>
      <c r="DN105" s="22">
        <v>1</v>
      </c>
      <c r="DO105" s="17"/>
      <c r="DP105" s="22">
        <v>1</v>
      </c>
      <c r="DQ105" s="17"/>
      <c r="DR105" s="17"/>
      <c r="DS105" s="17"/>
      <c r="DT105" s="17"/>
      <c r="DU105" s="17"/>
      <c r="DV105" s="17"/>
      <c r="DW105" s="17"/>
      <c r="DX105" s="17"/>
      <c r="DY105" s="22">
        <v>1</v>
      </c>
      <c r="DZ105" s="17"/>
      <c r="EA105" s="17"/>
      <c r="EB105" s="17"/>
      <c r="EC105" s="17"/>
      <c r="ED105" s="17"/>
      <c r="EE105" s="17"/>
      <c r="EF105" s="22">
        <v>1</v>
      </c>
      <c r="EG105" s="22">
        <v>1</v>
      </c>
      <c r="EH105" s="17"/>
      <c r="EI105" s="22">
        <v>1</v>
      </c>
      <c r="EJ105" s="17"/>
      <c r="EK105" s="22">
        <v>1</v>
      </c>
      <c r="EL105" s="17"/>
      <c r="EM105" s="22">
        <v>1</v>
      </c>
      <c r="EN105" s="17"/>
      <c r="EO105" s="17"/>
      <c r="EP105" s="22">
        <v>1</v>
      </c>
      <c r="EQ105" s="17"/>
      <c r="ER105" s="17"/>
      <c r="ES105" s="22">
        <v>1</v>
      </c>
      <c r="ET105" s="17"/>
      <c r="EU105" s="17"/>
      <c r="EV105" s="22">
        <v>1</v>
      </c>
      <c r="EW105" s="17"/>
      <c r="EX105" s="22">
        <v>1</v>
      </c>
      <c r="EY105" s="17"/>
      <c r="EZ105" s="22">
        <v>1</v>
      </c>
      <c r="FA105" s="17"/>
      <c r="FB105" s="22">
        <v>1</v>
      </c>
      <c r="FC105" s="17"/>
      <c r="FD105" s="22">
        <v>1</v>
      </c>
      <c r="FE105" s="22">
        <v>1</v>
      </c>
      <c r="FF105" s="17"/>
      <c r="FG105" s="22">
        <v>1</v>
      </c>
      <c r="FH105" s="17"/>
      <c r="FI105" s="22">
        <v>1</v>
      </c>
      <c r="FJ105" s="22">
        <v>1</v>
      </c>
      <c r="FK105" s="22">
        <v>1</v>
      </c>
      <c r="FL105" s="17"/>
      <c r="FM105" s="17"/>
      <c r="FN105" s="17"/>
      <c r="FO105" s="22">
        <v>1</v>
      </c>
      <c r="FP105" s="17"/>
      <c r="FQ105" s="17"/>
      <c r="FR105" s="22">
        <v>1</v>
      </c>
      <c r="FS105" s="22">
        <v>1</v>
      </c>
      <c r="FT105" s="22">
        <v>1</v>
      </c>
      <c r="FU105" s="22">
        <v>1</v>
      </c>
      <c r="FV105" s="17"/>
      <c r="FW105" s="17"/>
      <c r="FX105" s="17"/>
      <c r="FY105" s="22">
        <v>1</v>
      </c>
      <c r="FZ105" s="22">
        <v>1</v>
      </c>
      <c r="GA105" s="22">
        <v>1</v>
      </c>
      <c r="GB105" s="17"/>
      <c r="GC105" s="22">
        <v>1</v>
      </c>
      <c r="GD105" s="17"/>
      <c r="GE105" s="17"/>
      <c r="GF105" s="17"/>
      <c r="GG105" s="17"/>
      <c r="GH105" s="17"/>
      <c r="GI105" s="22">
        <v>1</v>
      </c>
      <c r="GJ105" s="17"/>
      <c r="GK105" s="22">
        <v>1</v>
      </c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22">
        <v>1</v>
      </c>
      <c r="GY105" s="22">
        <v>1</v>
      </c>
      <c r="GZ105" s="22">
        <v>1</v>
      </c>
      <c r="HA105" s="17"/>
      <c r="HB105" s="17"/>
      <c r="HC105" s="22">
        <v>1</v>
      </c>
      <c r="HD105" s="22">
        <v>1</v>
      </c>
      <c r="HE105" s="22">
        <v>1</v>
      </c>
      <c r="HF105" s="22">
        <v>1</v>
      </c>
      <c r="HG105" s="22">
        <v>1</v>
      </c>
      <c r="HH105" s="22">
        <v>1</v>
      </c>
      <c r="HI105" s="22">
        <v>1</v>
      </c>
      <c r="HJ105" s="22">
        <v>1</v>
      </c>
      <c r="HK105" s="22">
        <v>1</v>
      </c>
      <c r="HL105" s="22">
        <v>1</v>
      </c>
      <c r="HM105" s="22">
        <v>1</v>
      </c>
      <c r="HN105" s="22">
        <v>1</v>
      </c>
      <c r="HO105" s="22">
        <v>1</v>
      </c>
      <c r="HP105" s="22">
        <v>1</v>
      </c>
      <c r="HQ105" s="17"/>
      <c r="HR105" s="17"/>
      <c r="HS105" s="17"/>
      <c r="HT105" s="22">
        <v>1</v>
      </c>
      <c r="HU105" s="22">
        <v>1</v>
      </c>
      <c r="HV105" s="17"/>
      <c r="HW105" s="17"/>
      <c r="HX105" s="17"/>
      <c r="HY105" s="17"/>
      <c r="HZ105" s="17"/>
      <c r="IA105" s="22">
        <v>1</v>
      </c>
      <c r="IB105" s="17"/>
      <c r="IC105" s="17"/>
      <c r="ID105" s="17"/>
      <c r="IE105" s="17"/>
      <c r="IF105" s="17"/>
      <c r="IG105" s="17"/>
      <c r="IH105" s="17"/>
      <c r="II105" s="22">
        <v>1</v>
      </c>
      <c r="IJ105" s="22">
        <v>1</v>
      </c>
      <c r="IK105" s="22">
        <v>1</v>
      </c>
      <c r="IL105" s="22">
        <v>1</v>
      </c>
      <c r="IM105" s="17"/>
      <c r="IN105" s="17"/>
      <c r="IO105" s="17"/>
      <c r="IP105" s="22">
        <v>1</v>
      </c>
      <c r="IQ105" s="17"/>
      <c r="IR105" s="17"/>
      <c r="IS105" s="17"/>
      <c r="IT105" s="22">
        <v>1</v>
      </c>
      <c r="IU105" s="17"/>
      <c r="IV105" s="17"/>
      <c r="IW105" s="17"/>
      <c r="IX105" s="17"/>
      <c r="IY105" s="22">
        <v>1</v>
      </c>
      <c r="IZ105" s="17"/>
      <c r="JA105" s="22">
        <v>1</v>
      </c>
      <c r="JB105" s="22">
        <v>1</v>
      </c>
      <c r="JC105" s="17"/>
      <c r="JD105" s="22">
        <v>1</v>
      </c>
      <c r="JE105" s="22">
        <v>2</v>
      </c>
      <c r="JF105" s="17"/>
      <c r="JG105" s="22">
        <v>1</v>
      </c>
      <c r="JH105" s="17"/>
      <c r="JI105" s="17"/>
      <c r="JJ105" s="17"/>
      <c r="JK105" s="22">
        <v>2</v>
      </c>
      <c r="JL105" s="17"/>
      <c r="JM105" s="22">
        <v>1</v>
      </c>
      <c r="JN105" s="22">
        <v>2</v>
      </c>
      <c r="JO105" s="17"/>
      <c r="JP105" s="17"/>
      <c r="JQ105" s="22">
        <v>2</v>
      </c>
      <c r="JR105" s="22">
        <v>1</v>
      </c>
      <c r="JS105" s="17"/>
      <c r="JT105" s="17"/>
      <c r="JU105" s="17"/>
      <c r="JV105" s="17"/>
      <c r="JW105" s="17"/>
      <c r="JX105" s="22">
        <v>2</v>
      </c>
      <c r="JY105" s="22">
        <v>1</v>
      </c>
      <c r="JZ105" s="22">
        <v>1</v>
      </c>
      <c r="KA105" s="22">
        <v>1</v>
      </c>
      <c r="KB105" s="22">
        <v>1</v>
      </c>
      <c r="KC105" s="22">
        <v>2</v>
      </c>
      <c r="KD105" s="22">
        <v>2</v>
      </c>
      <c r="KE105" s="22">
        <v>1</v>
      </c>
      <c r="KF105" s="22">
        <v>1</v>
      </c>
      <c r="KG105" s="22">
        <v>1</v>
      </c>
      <c r="KH105" s="22">
        <v>2</v>
      </c>
      <c r="KI105" s="22">
        <v>1</v>
      </c>
      <c r="KJ105" s="22">
        <v>1</v>
      </c>
      <c r="KK105" s="17"/>
      <c r="KL105" s="22">
        <v>1</v>
      </c>
      <c r="KM105" s="17"/>
      <c r="KN105" s="17"/>
      <c r="KO105" s="17"/>
      <c r="KP105" s="17"/>
      <c r="KQ105" s="17"/>
      <c r="KR105" s="17"/>
      <c r="KS105" s="17"/>
      <c r="KT105" s="22">
        <v>1</v>
      </c>
      <c r="KU105" s="17"/>
      <c r="KV105" s="17"/>
      <c r="KW105" s="22">
        <v>1</v>
      </c>
      <c r="KX105" s="17"/>
      <c r="KY105" s="22">
        <v>1</v>
      </c>
      <c r="KZ105" s="17"/>
      <c r="LA105" s="17"/>
      <c r="LB105" s="17"/>
      <c r="LC105" s="22">
        <v>1</v>
      </c>
      <c r="LD105" s="17"/>
      <c r="LE105" s="17"/>
      <c r="LF105" s="17"/>
      <c r="LG105" s="22">
        <v>1</v>
      </c>
      <c r="LH105" s="22">
        <v>1</v>
      </c>
      <c r="LI105" s="22">
        <v>1</v>
      </c>
      <c r="LJ105" s="17"/>
      <c r="LK105" s="17"/>
      <c r="LL105" s="22">
        <v>1</v>
      </c>
      <c r="LM105" s="17"/>
      <c r="LN105" s="17"/>
      <c r="LO105" s="22">
        <v>1</v>
      </c>
      <c r="LP105" s="22">
        <v>1</v>
      </c>
      <c r="LQ105" s="22">
        <v>1</v>
      </c>
      <c r="LR105" s="17"/>
      <c r="LS105" s="22">
        <v>1</v>
      </c>
      <c r="LT105" s="22">
        <v>1</v>
      </c>
      <c r="LU105" s="17"/>
      <c r="LV105" s="17"/>
      <c r="LW105" s="17"/>
      <c r="LX105" s="22">
        <v>1</v>
      </c>
      <c r="LY105" s="22">
        <v>1</v>
      </c>
      <c r="LZ105" s="22">
        <v>1</v>
      </c>
      <c r="MA105" s="22">
        <v>1</v>
      </c>
      <c r="MB105" s="17"/>
      <c r="MC105" s="22">
        <v>1</v>
      </c>
      <c r="MD105" s="17"/>
      <c r="ME105" s="22">
        <v>1</v>
      </c>
      <c r="MF105" s="17"/>
      <c r="MG105" s="22">
        <v>1</v>
      </c>
      <c r="MH105" s="17"/>
      <c r="MI105" s="17"/>
      <c r="MJ105" s="17"/>
      <c r="MK105" s="17"/>
      <c r="ML105" s="22">
        <v>1</v>
      </c>
      <c r="MM105" s="17"/>
      <c r="MN105" s="17"/>
      <c r="MO105" s="17"/>
      <c r="MP105" s="22">
        <v>1</v>
      </c>
      <c r="MQ105" s="22">
        <v>1</v>
      </c>
      <c r="MR105" s="22">
        <v>1</v>
      </c>
      <c r="MS105" s="17"/>
      <c r="MT105" s="17"/>
      <c r="MU105" s="17"/>
      <c r="MV105" s="17"/>
      <c r="MW105" s="17"/>
      <c r="MX105" s="17"/>
      <c r="MY105" s="17"/>
      <c r="MZ105" s="17"/>
      <c r="NA105" s="17"/>
      <c r="NB105" s="22">
        <v>2</v>
      </c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22">
        <v>1</v>
      </c>
      <c r="NS105" s="17"/>
      <c r="NT105" s="17"/>
      <c r="NU105" s="17"/>
      <c r="NV105" s="17"/>
      <c r="NW105" s="22">
        <v>1</v>
      </c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22">
        <v>1</v>
      </c>
      <c r="OJ105" s="22">
        <v>1</v>
      </c>
      <c r="OK105" s="22">
        <v>1</v>
      </c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22">
        <v>1</v>
      </c>
      <c r="PB105" s="22">
        <v>1</v>
      </c>
      <c r="PC105" s="17"/>
      <c r="PD105" s="17"/>
      <c r="PE105" s="17"/>
      <c r="PF105" s="22">
        <v>2</v>
      </c>
      <c r="PG105" s="17"/>
      <c r="PH105" s="22">
        <v>1</v>
      </c>
      <c r="PI105" s="22">
        <v>1</v>
      </c>
      <c r="PJ105" s="22">
        <v>1</v>
      </c>
      <c r="PK105" s="17"/>
      <c r="PL105" s="17"/>
      <c r="PM105" s="17"/>
      <c r="PN105" s="22">
        <v>2</v>
      </c>
      <c r="PO105" s="17"/>
      <c r="PP105" s="17"/>
      <c r="PQ105" s="22">
        <v>1</v>
      </c>
      <c r="PR105" s="17"/>
      <c r="PS105" s="17"/>
      <c r="PT105" s="17"/>
      <c r="PU105" s="17"/>
      <c r="PV105" s="17"/>
      <c r="PW105" s="22" t="s">
        <v>506</v>
      </c>
      <c r="PX105" s="22" t="s">
        <v>506</v>
      </c>
      <c r="PY105" s="22" t="s">
        <v>506</v>
      </c>
      <c r="PZ105" s="22" t="s">
        <v>506</v>
      </c>
      <c r="QA105" s="22" t="s">
        <v>506</v>
      </c>
      <c r="QB105" s="22" t="s">
        <v>506</v>
      </c>
      <c r="QC105" s="22" t="s">
        <v>508</v>
      </c>
      <c r="QD105" s="22" t="s">
        <v>508</v>
      </c>
      <c r="QE105" s="22" t="s">
        <v>507</v>
      </c>
      <c r="QF105" s="22" t="s">
        <v>507</v>
      </c>
      <c r="QG105" s="22" t="s">
        <v>508</v>
      </c>
      <c r="QH105" s="22" t="s">
        <v>508</v>
      </c>
      <c r="QI105" s="22">
        <v>1</v>
      </c>
      <c r="QJ105" s="22">
        <v>1</v>
      </c>
      <c r="QK105" s="22">
        <v>0</v>
      </c>
      <c r="QL105" s="22">
        <v>1</v>
      </c>
      <c r="QM105" s="22">
        <v>0</v>
      </c>
      <c r="QN105" s="22">
        <v>1</v>
      </c>
      <c r="QO105" s="22">
        <v>1</v>
      </c>
      <c r="QP105" s="22">
        <v>1</v>
      </c>
      <c r="QQ105" s="22">
        <v>1</v>
      </c>
      <c r="QR105" s="22">
        <v>0</v>
      </c>
      <c r="QS105" s="22">
        <v>0</v>
      </c>
      <c r="QT105" s="22">
        <v>1</v>
      </c>
      <c r="QU105" s="22">
        <v>1</v>
      </c>
      <c r="QV105" s="22">
        <v>1</v>
      </c>
      <c r="QW105" s="22">
        <v>0</v>
      </c>
      <c r="QX105" s="22">
        <v>0</v>
      </c>
      <c r="QY105" s="22">
        <v>1</v>
      </c>
      <c r="QZ105" s="22">
        <v>0</v>
      </c>
      <c r="RA105" s="22">
        <v>1</v>
      </c>
      <c r="RB105" s="22">
        <v>1</v>
      </c>
      <c r="RC105" s="22">
        <v>0</v>
      </c>
      <c r="RD105" s="22">
        <v>0</v>
      </c>
      <c r="RE105" s="17"/>
      <c r="RF105" s="22">
        <v>0</v>
      </c>
      <c r="RG105" s="22">
        <v>0</v>
      </c>
      <c r="RH105" s="22">
        <v>0</v>
      </c>
      <c r="RI105" s="22">
        <v>0</v>
      </c>
      <c r="RJ105" s="22">
        <v>0</v>
      </c>
      <c r="RK105" s="22">
        <v>0</v>
      </c>
      <c r="RL105" s="22">
        <v>0</v>
      </c>
      <c r="RM105" s="22">
        <v>0</v>
      </c>
      <c r="RN105" s="22">
        <v>1</v>
      </c>
      <c r="RO105" s="22">
        <v>0</v>
      </c>
      <c r="RP105" s="22">
        <v>0</v>
      </c>
      <c r="RQ105" s="22">
        <v>0</v>
      </c>
      <c r="RR105" s="22">
        <v>0</v>
      </c>
      <c r="RS105" s="22">
        <v>1</v>
      </c>
      <c r="RT105" s="22">
        <v>1</v>
      </c>
      <c r="RU105" s="22">
        <v>0</v>
      </c>
      <c r="RV105" s="22">
        <v>0</v>
      </c>
      <c r="RW105" s="22">
        <v>0</v>
      </c>
      <c r="RX105" s="22">
        <v>1</v>
      </c>
      <c r="RY105" s="22">
        <v>1</v>
      </c>
      <c r="RZ105" s="22">
        <v>0</v>
      </c>
      <c r="SA105" s="22">
        <v>1</v>
      </c>
      <c r="SB105" s="22">
        <v>1</v>
      </c>
      <c r="SC105" s="22">
        <v>0</v>
      </c>
      <c r="SD105" s="22">
        <v>0</v>
      </c>
      <c r="SE105" s="22">
        <v>1</v>
      </c>
      <c r="SF105" s="22">
        <v>0</v>
      </c>
      <c r="SG105" s="22">
        <v>1</v>
      </c>
      <c r="SH105" s="17"/>
      <c r="SI105" s="22">
        <v>10107</v>
      </c>
      <c r="SJ105" s="19">
        <f t="shared" si="7"/>
        <v>128</v>
      </c>
      <c r="SK105" s="19">
        <f t="shared" si="8"/>
        <v>146</v>
      </c>
      <c r="SL105" s="19">
        <f t="shared" si="9"/>
        <v>18</v>
      </c>
      <c r="SM105" s="9">
        <v>10107</v>
      </c>
      <c r="SN105" s="9" t="s">
        <v>504</v>
      </c>
      <c r="SO105" s="10">
        <v>1</v>
      </c>
      <c r="SP105" s="9">
        <v>1</v>
      </c>
      <c r="SQ105" s="11" t="s">
        <v>517</v>
      </c>
      <c r="SR105" s="9">
        <v>18</v>
      </c>
      <c r="SS105" s="28">
        <v>62</v>
      </c>
      <c r="ST105" s="28">
        <v>16</v>
      </c>
      <c r="SU105" s="28">
        <v>96</v>
      </c>
      <c r="SV105" s="28">
        <v>16</v>
      </c>
      <c r="SW105" s="28">
        <v>8</v>
      </c>
      <c r="SX105" s="28">
        <v>19</v>
      </c>
      <c r="SY105" s="29">
        <v>23</v>
      </c>
      <c r="SZ105" s="30">
        <v>6</v>
      </c>
      <c r="TA105" s="31">
        <v>17</v>
      </c>
      <c r="TB105" s="31">
        <v>28</v>
      </c>
    </row>
    <row r="106" spans="1:522" ht="15.75" customHeight="1" x14ac:dyDescent="0.2">
      <c r="A106" s="22">
        <v>10108</v>
      </c>
      <c r="B106" s="22" t="s">
        <v>501</v>
      </c>
      <c r="C106" s="22" t="s">
        <v>502</v>
      </c>
      <c r="D106" s="22" t="s">
        <v>535</v>
      </c>
      <c r="E106" s="22" t="s">
        <v>509</v>
      </c>
      <c r="F106" s="23">
        <v>39295</v>
      </c>
      <c r="G106" s="23">
        <v>39818</v>
      </c>
      <c r="H106" s="14">
        <f t="shared" si="6"/>
        <v>17</v>
      </c>
      <c r="I106" s="22" t="s">
        <v>536</v>
      </c>
      <c r="J106" s="22">
        <v>1</v>
      </c>
      <c r="K106" s="22">
        <v>1</v>
      </c>
      <c r="L106" s="22">
        <v>1</v>
      </c>
      <c r="M106" s="22">
        <v>1</v>
      </c>
      <c r="N106" s="22">
        <v>1</v>
      </c>
      <c r="O106" s="22">
        <v>1</v>
      </c>
      <c r="P106" s="17"/>
      <c r="Q106" s="22">
        <v>1</v>
      </c>
      <c r="R106" s="22">
        <v>1</v>
      </c>
      <c r="S106" s="22">
        <v>1</v>
      </c>
      <c r="T106" s="22">
        <v>1</v>
      </c>
      <c r="U106" s="22">
        <v>1</v>
      </c>
      <c r="V106" s="22">
        <v>1</v>
      </c>
      <c r="W106" s="22">
        <v>1</v>
      </c>
      <c r="X106" s="17"/>
      <c r="Y106" s="22">
        <v>1</v>
      </c>
      <c r="Z106" s="22">
        <v>1</v>
      </c>
      <c r="AA106" s="22">
        <v>1</v>
      </c>
      <c r="AB106" s="17"/>
      <c r="AC106" s="22">
        <v>1</v>
      </c>
      <c r="AD106" s="17"/>
      <c r="AE106" s="22">
        <v>1</v>
      </c>
      <c r="AF106" s="17"/>
      <c r="AG106" s="17"/>
      <c r="AH106" s="17"/>
      <c r="AI106" s="22">
        <v>1</v>
      </c>
      <c r="AJ106" s="17"/>
      <c r="AK106" s="17"/>
      <c r="AL106" s="17"/>
      <c r="AM106" s="17"/>
      <c r="AN106" s="17"/>
      <c r="AO106" s="22" t="s">
        <v>507</v>
      </c>
      <c r="AP106" s="22" t="s">
        <v>508</v>
      </c>
      <c r="AQ106" s="22">
        <v>1</v>
      </c>
      <c r="AR106" s="17"/>
      <c r="AS106" s="22">
        <v>2</v>
      </c>
      <c r="AT106" s="22">
        <v>2</v>
      </c>
      <c r="AU106" s="22">
        <v>2</v>
      </c>
      <c r="AV106" s="22">
        <v>2</v>
      </c>
      <c r="AW106" s="22">
        <v>2</v>
      </c>
      <c r="AX106" s="22">
        <v>2</v>
      </c>
      <c r="AY106" s="17"/>
      <c r="AZ106" s="17"/>
      <c r="BA106" s="22">
        <v>1</v>
      </c>
      <c r="BB106" s="22">
        <v>1</v>
      </c>
      <c r="BC106" s="22">
        <v>1</v>
      </c>
      <c r="BD106" s="22">
        <v>1</v>
      </c>
      <c r="BE106" s="17"/>
      <c r="BF106" s="22">
        <v>2</v>
      </c>
      <c r="BG106" s="22">
        <v>1</v>
      </c>
      <c r="BH106" s="22">
        <v>1</v>
      </c>
      <c r="BI106" s="22">
        <v>2</v>
      </c>
      <c r="BJ106" s="22">
        <v>2</v>
      </c>
      <c r="BK106" s="22">
        <v>1</v>
      </c>
      <c r="BL106" s="22">
        <v>1</v>
      </c>
      <c r="BM106" s="17"/>
      <c r="BN106" s="22">
        <v>1</v>
      </c>
      <c r="BO106" s="17"/>
      <c r="BP106" s="22">
        <v>1</v>
      </c>
      <c r="BQ106" s="22">
        <v>1</v>
      </c>
      <c r="BR106" s="22">
        <v>1</v>
      </c>
      <c r="BS106" s="22">
        <v>1</v>
      </c>
      <c r="BT106" s="22">
        <v>1</v>
      </c>
      <c r="BU106" s="22">
        <v>1</v>
      </c>
      <c r="BV106" s="22">
        <v>1</v>
      </c>
      <c r="BW106" s="22">
        <v>2</v>
      </c>
      <c r="BX106" s="17"/>
      <c r="BY106" s="22">
        <v>1</v>
      </c>
      <c r="BZ106" s="22">
        <v>1</v>
      </c>
      <c r="CA106" s="22">
        <v>1</v>
      </c>
      <c r="CB106" s="22">
        <v>1</v>
      </c>
      <c r="CC106" s="22">
        <v>1</v>
      </c>
      <c r="CD106" s="22">
        <v>1</v>
      </c>
      <c r="CE106" s="22">
        <v>1</v>
      </c>
      <c r="CF106" s="22">
        <v>1</v>
      </c>
      <c r="CG106" s="22">
        <v>1</v>
      </c>
      <c r="CH106" s="17"/>
      <c r="CI106" s="22">
        <v>1</v>
      </c>
      <c r="CJ106" s="22">
        <v>1</v>
      </c>
      <c r="CK106" s="17"/>
      <c r="CL106" s="22">
        <v>1</v>
      </c>
      <c r="CM106" s="22">
        <v>1</v>
      </c>
      <c r="CN106" s="17"/>
      <c r="CO106" s="17"/>
      <c r="CP106" s="22">
        <v>1</v>
      </c>
      <c r="CQ106" s="17"/>
      <c r="CR106" s="17"/>
      <c r="CS106" s="22">
        <v>1</v>
      </c>
      <c r="CT106" s="17"/>
      <c r="CU106" s="17"/>
      <c r="CV106" s="22">
        <v>2</v>
      </c>
      <c r="CW106" s="22">
        <v>1</v>
      </c>
      <c r="CX106" s="17"/>
      <c r="CY106" s="22">
        <v>1</v>
      </c>
      <c r="CZ106" s="17"/>
      <c r="DA106" s="22">
        <v>1</v>
      </c>
      <c r="DB106" s="22">
        <v>1</v>
      </c>
      <c r="DC106" s="22">
        <v>1</v>
      </c>
      <c r="DD106" s="22">
        <v>1</v>
      </c>
      <c r="DE106" s="22">
        <v>1</v>
      </c>
      <c r="DF106" s="22">
        <v>1</v>
      </c>
      <c r="DG106" s="17"/>
      <c r="DH106" s="17"/>
      <c r="DI106" s="17"/>
      <c r="DJ106" s="22">
        <v>1</v>
      </c>
      <c r="DK106" s="22">
        <v>1</v>
      </c>
      <c r="DL106" s="22">
        <v>1</v>
      </c>
      <c r="DM106" s="22">
        <v>1</v>
      </c>
      <c r="DN106" s="17"/>
      <c r="DO106" s="17"/>
      <c r="DP106" s="22">
        <v>2</v>
      </c>
      <c r="DQ106" s="22">
        <v>2</v>
      </c>
      <c r="DR106" s="22">
        <v>1</v>
      </c>
      <c r="DS106" s="22">
        <v>1</v>
      </c>
      <c r="DT106" s="22">
        <v>1</v>
      </c>
      <c r="DU106" s="17"/>
      <c r="DV106" s="17"/>
      <c r="DW106" s="22">
        <v>1</v>
      </c>
      <c r="DX106" s="17"/>
      <c r="DY106" s="17"/>
      <c r="DZ106" s="17"/>
      <c r="EA106" s="22">
        <v>1</v>
      </c>
      <c r="EB106" s="17"/>
      <c r="EC106" s="22">
        <v>1</v>
      </c>
      <c r="ED106" s="22">
        <v>1</v>
      </c>
      <c r="EE106" s="17"/>
      <c r="EF106" s="17"/>
      <c r="EG106" s="22">
        <v>2</v>
      </c>
      <c r="EH106" s="17"/>
      <c r="EI106" s="22">
        <v>1</v>
      </c>
      <c r="EJ106" s="17"/>
      <c r="EK106" s="17"/>
      <c r="EL106" s="17"/>
      <c r="EM106" s="22">
        <v>1</v>
      </c>
      <c r="EN106" s="17"/>
      <c r="EO106" s="22">
        <v>2</v>
      </c>
      <c r="EP106" s="22">
        <v>1</v>
      </c>
      <c r="EQ106" s="17"/>
      <c r="ER106" s="22">
        <v>1</v>
      </c>
      <c r="ES106" s="22">
        <v>1</v>
      </c>
      <c r="ET106" s="17"/>
      <c r="EU106" s="17"/>
      <c r="EV106" s="22">
        <v>1</v>
      </c>
      <c r="EW106" s="17"/>
      <c r="EX106" s="17"/>
      <c r="EY106" s="17"/>
      <c r="EZ106" s="17"/>
      <c r="FA106" s="17"/>
      <c r="FB106" s="22">
        <v>1</v>
      </c>
      <c r="FC106" s="22">
        <v>1</v>
      </c>
      <c r="FD106" s="22">
        <v>1</v>
      </c>
      <c r="FE106" s="22">
        <v>1</v>
      </c>
      <c r="FF106" s="22">
        <v>1</v>
      </c>
      <c r="FG106" s="22">
        <v>1</v>
      </c>
      <c r="FH106" s="22">
        <v>1</v>
      </c>
      <c r="FI106" s="22">
        <v>1</v>
      </c>
      <c r="FJ106" s="22">
        <v>1</v>
      </c>
      <c r="FK106" s="22">
        <v>1</v>
      </c>
      <c r="FL106" s="17"/>
      <c r="FM106" s="22">
        <v>1</v>
      </c>
      <c r="FN106" s="22">
        <v>1</v>
      </c>
      <c r="FO106" s="22">
        <v>1</v>
      </c>
      <c r="FP106" s="17"/>
      <c r="FQ106" s="22">
        <v>1</v>
      </c>
      <c r="FR106" s="22">
        <v>1</v>
      </c>
      <c r="FS106" s="22">
        <v>1</v>
      </c>
      <c r="FT106" s="22">
        <v>1</v>
      </c>
      <c r="FU106" s="22">
        <v>1</v>
      </c>
      <c r="FV106" s="17"/>
      <c r="FW106" s="17"/>
      <c r="FX106" s="17"/>
      <c r="FY106" s="17"/>
      <c r="FZ106" s="22">
        <v>1</v>
      </c>
      <c r="GA106" s="17"/>
      <c r="GB106" s="17"/>
      <c r="GC106" s="22">
        <v>1</v>
      </c>
      <c r="GD106" s="17"/>
      <c r="GE106" s="22">
        <v>1</v>
      </c>
      <c r="GF106" s="22">
        <v>1</v>
      </c>
      <c r="GG106" s="17"/>
      <c r="GH106" s="17"/>
      <c r="GI106" s="17"/>
      <c r="GJ106" s="17"/>
      <c r="GK106" s="17"/>
      <c r="GL106" s="17"/>
      <c r="GM106" s="17"/>
      <c r="GN106" s="17"/>
      <c r="GO106" s="17"/>
      <c r="GP106" s="22">
        <v>1</v>
      </c>
      <c r="GQ106" s="17"/>
      <c r="GR106" s="17"/>
      <c r="GS106" s="17"/>
      <c r="GT106" s="17"/>
      <c r="GU106" s="17"/>
      <c r="GV106" s="17"/>
      <c r="GW106" s="17"/>
      <c r="GX106" s="22">
        <v>1</v>
      </c>
      <c r="GY106" s="17"/>
      <c r="GZ106" s="17"/>
      <c r="HA106" s="17"/>
      <c r="HB106" s="22">
        <v>1</v>
      </c>
      <c r="HC106" s="22">
        <v>1</v>
      </c>
      <c r="HD106" s="17"/>
      <c r="HE106" s="22">
        <v>1</v>
      </c>
      <c r="HF106" s="22">
        <v>1</v>
      </c>
      <c r="HG106" s="22">
        <v>1</v>
      </c>
      <c r="HH106" s="17"/>
      <c r="HI106" s="22">
        <v>1</v>
      </c>
      <c r="HJ106" s="17"/>
      <c r="HK106" s="17"/>
      <c r="HL106" s="22">
        <v>1</v>
      </c>
      <c r="HM106" s="17"/>
      <c r="HN106" s="17"/>
      <c r="HO106" s="17"/>
      <c r="HP106" s="17"/>
      <c r="HQ106" s="17"/>
      <c r="HR106" s="22">
        <v>1</v>
      </c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22">
        <v>1</v>
      </c>
      <c r="IG106" s="17"/>
      <c r="IH106" s="22">
        <v>1</v>
      </c>
      <c r="II106" s="17"/>
      <c r="IJ106" s="22">
        <v>2</v>
      </c>
      <c r="IK106" s="17"/>
      <c r="IL106" s="17"/>
      <c r="IM106" s="17"/>
      <c r="IN106" s="17"/>
      <c r="IO106" s="17"/>
      <c r="IP106" s="17"/>
      <c r="IQ106" s="22">
        <v>1</v>
      </c>
      <c r="IR106" s="17"/>
      <c r="IS106" s="17"/>
      <c r="IT106" s="22">
        <v>1</v>
      </c>
      <c r="IU106" s="17"/>
      <c r="IV106" s="22">
        <v>1</v>
      </c>
      <c r="IW106" s="17"/>
      <c r="IX106" s="17"/>
      <c r="IY106" s="17"/>
      <c r="IZ106" s="22">
        <v>1</v>
      </c>
      <c r="JA106" s="17"/>
      <c r="JB106" s="17"/>
      <c r="JC106" s="17"/>
      <c r="JD106" s="17"/>
      <c r="JE106" s="22">
        <v>2</v>
      </c>
      <c r="JF106" s="17"/>
      <c r="JG106" s="17"/>
      <c r="JH106" s="17"/>
      <c r="JI106" s="17"/>
      <c r="JJ106" s="17"/>
      <c r="JK106" s="22">
        <v>2</v>
      </c>
      <c r="JL106" s="17"/>
      <c r="JM106" s="17"/>
      <c r="JN106" s="17"/>
      <c r="JO106" s="17"/>
      <c r="JP106" s="17"/>
      <c r="JQ106" s="22">
        <v>2</v>
      </c>
      <c r="JR106" s="22">
        <v>1</v>
      </c>
      <c r="JS106" s="17"/>
      <c r="JT106" s="17"/>
      <c r="JU106" s="22">
        <v>1</v>
      </c>
      <c r="JV106" s="17"/>
      <c r="JW106" s="17"/>
      <c r="JX106" s="22">
        <v>1</v>
      </c>
      <c r="JY106" s="22">
        <v>1</v>
      </c>
      <c r="JZ106" s="22">
        <v>1</v>
      </c>
      <c r="KA106" s="22">
        <v>1</v>
      </c>
      <c r="KB106" s="22">
        <v>1</v>
      </c>
      <c r="KC106" s="22">
        <v>1</v>
      </c>
      <c r="KD106" s="22">
        <v>1</v>
      </c>
      <c r="KE106" s="17"/>
      <c r="KF106" s="22">
        <v>1</v>
      </c>
      <c r="KG106" s="22">
        <v>1</v>
      </c>
      <c r="KH106" s="22">
        <v>1</v>
      </c>
      <c r="KI106" s="17"/>
      <c r="KJ106" s="22">
        <v>1</v>
      </c>
      <c r="KK106" s="17"/>
      <c r="KL106" s="22">
        <v>1</v>
      </c>
      <c r="KM106" s="17"/>
      <c r="KN106" s="17"/>
      <c r="KO106" s="17"/>
      <c r="KP106" s="17"/>
      <c r="KQ106" s="17"/>
      <c r="KR106" s="22">
        <v>1</v>
      </c>
      <c r="KS106" s="17"/>
      <c r="KT106" s="22">
        <v>1</v>
      </c>
      <c r="KU106" s="17"/>
      <c r="KV106" s="22">
        <v>1</v>
      </c>
      <c r="KW106" s="17"/>
      <c r="KX106" s="22">
        <v>1</v>
      </c>
      <c r="KY106" s="22">
        <v>1</v>
      </c>
      <c r="KZ106" s="17"/>
      <c r="LA106" s="22">
        <v>1</v>
      </c>
      <c r="LB106" s="17"/>
      <c r="LC106" s="22">
        <v>1</v>
      </c>
      <c r="LD106" s="22">
        <v>1</v>
      </c>
      <c r="LE106" s="22">
        <v>1</v>
      </c>
      <c r="LF106" s="17"/>
      <c r="LG106" s="22">
        <v>1</v>
      </c>
      <c r="LH106" s="22">
        <v>1</v>
      </c>
      <c r="LI106" s="22">
        <v>1</v>
      </c>
      <c r="LJ106" s="17"/>
      <c r="LK106" s="17"/>
      <c r="LL106" s="22">
        <v>1</v>
      </c>
      <c r="LM106" s="17"/>
      <c r="LN106" s="17"/>
      <c r="LO106" s="22">
        <v>1</v>
      </c>
      <c r="LP106" s="22">
        <v>1</v>
      </c>
      <c r="LQ106" s="22">
        <v>1</v>
      </c>
      <c r="LR106" s="17"/>
      <c r="LS106" s="22">
        <v>1</v>
      </c>
      <c r="LT106" s="22">
        <v>1</v>
      </c>
      <c r="LU106" s="17"/>
      <c r="LV106" s="17"/>
      <c r="LW106" s="17"/>
      <c r="LX106" s="22">
        <v>1</v>
      </c>
      <c r="LY106" s="17"/>
      <c r="LZ106" s="17"/>
      <c r="MA106" s="22">
        <v>1</v>
      </c>
      <c r="MB106" s="22">
        <v>1</v>
      </c>
      <c r="MC106" s="22">
        <v>1</v>
      </c>
      <c r="MD106" s="17"/>
      <c r="ME106" s="22">
        <v>1</v>
      </c>
      <c r="MF106" s="22">
        <v>1</v>
      </c>
      <c r="MG106" s="17"/>
      <c r="MH106" s="22">
        <v>1</v>
      </c>
      <c r="MI106" s="17"/>
      <c r="MJ106" s="22">
        <v>1</v>
      </c>
      <c r="MK106" s="22">
        <v>1</v>
      </c>
      <c r="ML106" s="22">
        <v>1</v>
      </c>
      <c r="MM106" s="22">
        <v>1</v>
      </c>
      <c r="MN106" s="22">
        <v>1</v>
      </c>
      <c r="MO106" s="22">
        <v>1</v>
      </c>
      <c r="MP106" s="22">
        <v>1</v>
      </c>
      <c r="MQ106" s="22">
        <v>1</v>
      </c>
      <c r="MR106" s="22">
        <v>1</v>
      </c>
      <c r="MS106" s="17"/>
      <c r="MT106" s="17"/>
      <c r="MU106" s="17"/>
      <c r="MV106" s="17"/>
      <c r="MW106" s="17"/>
      <c r="MX106" s="17"/>
      <c r="MY106" s="17"/>
      <c r="MZ106" s="17"/>
      <c r="NA106" s="17"/>
      <c r="NB106" s="22">
        <v>1</v>
      </c>
      <c r="NC106" s="17"/>
      <c r="ND106" s="17"/>
      <c r="NE106" s="17"/>
      <c r="NF106" s="17"/>
      <c r="NG106" s="17"/>
      <c r="NH106" s="22">
        <v>1</v>
      </c>
      <c r="NI106" s="17"/>
      <c r="NJ106" s="17"/>
      <c r="NK106" s="17"/>
      <c r="NL106" s="17"/>
      <c r="NM106" s="22">
        <v>1</v>
      </c>
      <c r="NN106" s="17"/>
      <c r="NO106" s="17"/>
      <c r="NP106" s="17"/>
      <c r="NQ106" s="17"/>
      <c r="NR106" s="22">
        <v>1</v>
      </c>
      <c r="NS106" s="22">
        <v>1</v>
      </c>
      <c r="NT106" s="17"/>
      <c r="NU106" s="17"/>
      <c r="NV106" s="22">
        <v>1</v>
      </c>
      <c r="NW106" s="22">
        <v>1</v>
      </c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22">
        <v>1</v>
      </c>
      <c r="OI106" s="17"/>
      <c r="OJ106" s="22">
        <v>1</v>
      </c>
      <c r="OK106" s="17"/>
      <c r="OL106" s="22">
        <v>1</v>
      </c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22" t="s">
        <v>506</v>
      </c>
      <c r="PX106" s="17"/>
      <c r="PY106" s="17"/>
      <c r="PZ106" s="17"/>
      <c r="QA106" s="22" t="s">
        <v>506</v>
      </c>
      <c r="QB106" s="22" t="s">
        <v>506</v>
      </c>
      <c r="QC106" s="22" t="s">
        <v>507</v>
      </c>
      <c r="QD106" s="22" t="s">
        <v>508</v>
      </c>
      <c r="QE106" s="22" t="s">
        <v>507</v>
      </c>
      <c r="QF106" s="22" t="s">
        <v>508</v>
      </c>
      <c r="QG106" s="22" t="s">
        <v>507</v>
      </c>
      <c r="QH106" s="22" t="s">
        <v>508</v>
      </c>
      <c r="QI106" s="22">
        <v>1</v>
      </c>
      <c r="QJ106" s="22">
        <v>0</v>
      </c>
      <c r="QK106" s="22">
        <v>0</v>
      </c>
      <c r="QL106" s="22">
        <v>1</v>
      </c>
      <c r="QM106" s="22">
        <v>1</v>
      </c>
      <c r="QN106" s="22">
        <v>1</v>
      </c>
      <c r="QO106" s="22">
        <v>1</v>
      </c>
      <c r="QP106" s="22">
        <v>1</v>
      </c>
      <c r="QQ106" s="22">
        <v>1</v>
      </c>
      <c r="QR106" s="22">
        <v>0</v>
      </c>
      <c r="QS106" s="22">
        <v>1</v>
      </c>
      <c r="QT106" s="22">
        <v>1</v>
      </c>
      <c r="QU106" s="17"/>
      <c r="QV106" s="22">
        <v>1</v>
      </c>
      <c r="QW106" s="17"/>
      <c r="QX106" s="17"/>
      <c r="QY106" s="17"/>
      <c r="QZ106" s="22">
        <v>1</v>
      </c>
      <c r="RA106" s="22">
        <v>1</v>
      </c>
      <c r="RB106" s="22">
        <v>1</v>
      </c>
      <c r="RC106" s="22">
        <v>1</v>
      </c>
      <c r="RD106" s="17"/>
      <c r="RE106" s="22">
        <v>1</v>
      </c>
      <c r="RF106" s="22">
        <v>0</v>
      </c>
      <c r="RG106" s="17"/>
      <c r="RH106" s="17"/>
      <c r="RI106" s="17"/>
      <c r="RJ106" s="22">
        <v>0</v>
      </c>
      <c r="RK106" s="22">
        <v>1</v>
      </c>
      <c r="RL106" s="22">
        <v>1</v>
      </c>
      <c r="RM106" s="22">
        <v>1</v>
      </c>
      <c r="RN106" s="22">
        <v>1</v>
      </c>
      <c r="RO106" s="17"/>
      <c r="RP106" s="17"/>
      <c r="RQ106" s="17"/>
      <c r="RR106" s="17"/>
      <c r="RS106" s="22">
        <v>1</v>
      </c>
      <c r="RT106" s="17"/>
      <c r="RU106" s="22">
        <v>1</v>
      </c>
      <c r="RV106" s="17"/>
      <c r="RW106" s="22">
        <v>1</v>
      </c>
      <c r="RX106" s="22">
        <v>1</v>
      </c>
      <c r="RY106" s="22">
        <v>1</v>
      </c>
      <c r="RZ106" s="17"/>
      <c r="SA106" s="22">
        <v>1</v>
      </c>
      <c r="SB106" s="17"/>
      <c r="SC106" s="17"/>
      <c r="SD106" s="22">
        <v>1</v>
      </c>
      <c r="SE106" s="22">
        <v>1</v>
      </c>
      <c r="SF106" s="22">
        <v>1</v>
      </c>
      <c r="SG106" s="17"/>
      <c r="SH106" s="22">
        <v>1</v>
      </c>
      <c r="SI106" s="22">
        <v>10108</v>
      </c>
      <c r="SJ106" s="19">
        <f t="shared" si="7"/>
        <v>153</v>
      </c>
      <c r="SK106" s="19">
        <f t="shared" si="8"/>
        <v>172</v>
      </c>
      <c r="SL106" s="19">
        <f t="shared" si="9"/>
        <v>19</v>
      </c>
      <c r="SM106" s="9">
        <v>10108</v>
      </c>
      <c r="SN106" s="9" t="s">
        <v>509</v>
      </c>
      <c r="SO106" s="10">
        <v>2</v>
      </c>
      <c r="SP106" s="9">
        <v>2</v>
      </c>
      <c r="SQ106" s="11" t="s">
        <v>517</v>
      </c>
      <c r="SR106" s="9">
        <v>16</v>
      </c>
      <c r="SS106" s="28">
        <v>63</v>
      </c>
      <c r="ST106" s="28">
        <v>17</v>
      </c>
      <c r="SU106" s="28">
        <v>122</v>
      </c>
      <c r="SV106" s="28">
        <v>15</v>
      </c>
      <c r="SW106" s="28">
        <v>16</v>
      </c>
      <c r="SX106" s="28">
        <v>12</v>
      </c>
      <c r="SY106" s="29">
        <v>26</v>
      </c>
      <c r="SZ106" s="30">
        <v>0</v>
      </c>
      <c r="TA106" s="31">
        <v>20</v>
      </c>
      <c r="TB106" s="31">
        <v>23</v>
      </c>
    </row>
    <row r="107" spans="1:522" ht="15.75" customHeight="1" x14ac:dyDescent="0.2">
      <c r="A107" s="22">
        <v>10109</v>
      </c>
      <c r="B107" s="22" t="s">
        <v>501</v>
      </c>
      <c r="C107" s="22" t="s">
        <v>502</v>
      </c>
      <c r="D107" s="22" t="s">
        <v>535</v>
      </c>
      <c r="E107" s="22" t="s">
        <v>504</v>
      </c>
      <c r="F107" s="23">
        <v>39202</v>
      </c>
      <c r="G107" s="23">
        <v>39773</v>
      </c>
      <c r="H107" s="14">
        <f t="shared" si="6"/>
        <v>18</v>
      </c>
      <c r="I107" s="22" t="s">
        <v>536</v>
      </c>
      <c r="J107" s="22">
        <v>1</v>
      </c>
      <c r="K107" s="22">
        <v>1</v>
      </c>
      <c r="L107" s="22">
        <v>1</v>
      </c>
      <c r="M107" s="22">
        <v>1</v>
      </c>
      <c r="N107" s="22">
        <v>1</v>
      </c>
      <c r="O107" s="17"/>
      <c r="P107" s="17"/>
      <c r="Q107" s="22">
        <v>1</v>
      </c>
      <c r="R107" s="22">
        <v>1</v>
      </c>
      <c r="S107" s="22">
        <v>1</v>
      </c>
      <c r="T107" s="22">
        <v>1</v>
      </c>
      <c r="U107" s="22">
        <v>1</v>
      </c>
      <c r="V107" s="17"/>
      <c r="W107" s="22">
        <v>1</v>
      </c>
      <c r="X107" s="22">
        <v>1</v>
      </c>
      <c r="Y107" s="22">
        <v>1</v>
      </c>
      <c r="Z107" s="22">
        <v>1</v>
      </c>
      <c r="AA107" s="22">
        <v>1</v>
      </c>
      <c r="AB107" s="22">
        <v>1</v>
      </c>
      <c r="AC107" s="22">
        <v>1</v>
      </c>
      <c r="AD107" s="17"/>
      <c r="AE107" s="22">
        <v>1</v>
      </c>
      <c r="AF107" s="22">
        <v>1</v>
      </c>
      <c r="AG107" s="17"/>
      <c r="AH107" s="17"/>
      <c r="AI107" s="17"/>
      <c r="AJ107" s="17"/>
      <c r="AK107" s="22">
        <v>1</v>
      </c>
      <c r="AL107" s="17"/>
      <c r="AM107" s="22">
        <v>1</v>
      </c>
      <c r="AN107" s="22">
        <v>1</v>
      </c>
      <c r="AO107" s="22" t="s">
        <v>508</v>
      </c>
      <c r="AP107" s="22" t="s">
        <v>507</v>
      </c>
      <c r="AQ107" s="17"/>
      <c r="AR107" s="22">
        <v>2</v>
      </c>
      <c r="AS107" s="17"/>
      <c r="AT107" s="17"/>
      <c r="AU107" s="22">
        <v>1</v>
      </c>
      <c r="AV107" s="22">
        <v>2</v>
      </c>
      <c r="AW107" s="22">
        <v>1</v>
      </c>
      <c r="AX107" s="22">
        <v>1</v>
      </c>
      <c r="AY107" s="22">
        <v>2</v>
      </c>
      <c r="AZ107" s="17"/>
      <c r="BA107" s="22">
        <v>2</v>
      </c>
      <c r="BB107" s="22">
        <v>1</v>
      </c>
      <c r="BC107" s="17"/>
      <c r="BD107" s="17"/>
      <c r="BE107" s="17"/>
      <c r="BF107" s="17"/>
      <c r="BG107" s="17"/>
      <c r="BH107" s="17"/>
      <c r="BI107" s="17"/>
      <c r="BJ107" s="22">
        <v>1</v>
      </c>
      <c r="BK107" s="17"/>
      <c r="BL107" s="22">
        <v>1</v>
      </c>
      <c r="BM107" s="17"/>
      <c r="BN107" s="22">
        <v>1</v>
      </c>
      <c r="BO107" s="17"/>
      <c r="BP107" s="22">
        <v>1</v>
      </c>
      <c r="BQ107" s="22">
        <v>1</v>
      </c>
      <c r="BR107" s="22">
        <v>1</v>
      </c>
      <c r="BS107" s="17"/>
      <c r="BT107" s="17"/>
      <c r="BU107" s="17"/>
      <c r="BV107" s="17"/>
      <c r="BW107" s="22">
        <v>1</v>
      </c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22">
        <v>1</v>
      </c>
      <c r="CN107" s="17"/>
      <c r="CO107" s="17"/>
      <c r="CP107" s="22">
        <v>1</v>
      </c>
      <c r="CQ107" s="22">
        <v>1</v>
      </c>
      <c r="CR107" s="17"/>
      <c r="CS107" s="22">
        <v>1</v>
      </c>
      <c r="CT107" s="22">
        <v>1</v>
      </c>
      <c r="CU107" s="22">
        <v>1</v>
      </c>
      <c r="CV107" s="22">
        <v>2</v>
      </c>
      <c r="CW107" s="22">
        <v>1</v>
      </c>
      <c r="CX107" s="17"/>
      <c r="CY107" s="22">
        <v>1</v>
      </c>
      <c r="CZ107" s="22">
        <v>1</v>
      </c>
      <c r="DA107" s="17"/>
      <c r="DB107" s="17"/>
      <c r="DC107" s="17"/>
      <c r="DD107" s="22">
        <v>1</v>
      </c>
      <c r="DE107" s="22">
        <v>1</v>
      </c>
      <c r="DF107" s="17"/>
      <c r="DG107" s="17"/>
      <c r="DH107" s="17"/>
      <c r="DI107" s="17"/>
      <c r="DJ107" s="17"/>
      <c r="DK107" s="17"/>
      <c r="DL107" s="17"/>
      <c r="DM107" s="22">
        <v>1</v>
      </c>
      <c r="DN107" s="17"/>
      <c r="DO107" s="17"/>
      <c r="DP107" s="17"/>
      <c r="DQ107" s="22">
        <v>1</v>
      </c>
      <c r="DR107" s="22">
        <v>1</v>
      </c>
      <c r="DS107" s="17"/>
      <c r="DT107" s="17"/>
      <c r="DU107" s="17"/>
      <c r="DV107" s="22">
        <v>1</v>
      </c>
      <c r="DW107" s="17"/>
      <c r="DX107" s="17"/>
      <c r="DY107" s="22">
        <v>1</v>
      </c>
      <c r="DZ107" s="17"/>
      <c r="EA107" s="17"/>
      <c r="EB107" s="22">
        <v>1</v>
      </c>
      <c r="EC107" s="17"/>
      <c r="ED107" s="17"/>
      <c r="EE107" s="17"/>
      <c r="EF107" s="17"/>
      <c r="EG107" s="17"/>
      <c r="EH107" s="17"/>
      <c r="EI107" s="22">
        <v>1</v>
      </c>
      <c r="EJ107" s="17"/>
      <c r="EK107" s="17"/>
      <c r="EL107" s="17"/>
      <c r="EM107" s="22">
        <v>1</v>
      </c>
      <c r="EN107" s="17"/>
      <c r="EO107" s="22">
        <v>1</v>
      </c>
      <c r="EP107" s="17"/>
      <c r="EQ107" s="17"/>
      <c r="ER107" s="17"/>
      <c r="ES107" s="22">
        <v>1</v>
      </c>
      <c r="ET107" s="22">
        <v>1</v>
      </c>
      <c r="EU107" s="22">
        <v>1</v>
      </c>
      <c r="EV107" s="22">
        <v>1</v>
      </c>
      <c r="EW107" s="17"/>
      <c r="EX107" s="22">
        <v>1</v>
      </c>
      <c r="EY107" s="17"/>
      <c r="EZ107" s="17"/>
      <c r="FA107" s="17"/>
      <c r="FB107" s="22">
        <v>1</v>
      </c>
      <c r="FC107" s="17"/>
      <c r="FD107" s="22">
        <v>1</v>
      </c>
      <c r="FE107" s="22">
        <v>1</v>
      </c>
      <c r="FF107" s="17"/>
      <c r="FG107" s="22">
        <v>1</v>
      </c>
      <c r="FH107" s="17"/>
      <c r="FI107" s="22">
        <v>1</v>
      </c>
      <c r="FJ107" s="22">
        <v>1</v>
      </c>
      <c r="FK107" s="17"/>
      <c r="FL107" s="17"/>
      <c r="FM107" s="17"/>
      <c r="FN107" s="22">
        <v>1</v>
      </c>
      <c r="FO107" s="22">
        <v>1</v>
      </c>
      <c r="FP107" s="17"/>
      <c r="FQ107" s="17"/>
      <c r="FR107" s="22">
        <v>1</v>
      </c>
      <c r="FS107" s="17"/>
      <c r="FT107" s="17"/>
      <c r="FU107" s="22">
        <v>1</v>
      </c>
      <c r="FV107" s="22">
        <v>1</v>
      </c>
      <c r="FW107" s="17"/>
      <c r="FX107" s="17"/>
      <c r="FY107" s="17"/>
      <c r="FZ107" s="17"/>
      <c r="GA107" s="17"/>
      <c r="GB107" s="17"/>
      <c r="GC107" s="22">
        <v>1</v>
      </c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22">
        <v>1</v>
      </c>
      <c r="HA107" s="17"/>
      <c r="HB107" s="17"/>
      <c r="HC107" s="17"/>
      <c r="HD107" s="17"/>
      <c r="HE107" s="17"/>
      <c r="HF107" s="17"/>
      <c r="HG107" s="17"/>
      <c r="HH107" s="17"/>
      <c r="HI107" s="22">
        <v>1</v>
      </c>
      <c r="HJ107" s="17"/>
      <c r="HK107" s="17"/>
      <c r="HL107" s="22">
        <v>1</v>
      </c>
      <c r="HM107" s="17"/>
      <c r="HN107" s="17"/>
      <c r="HO107" s="22">
        <v>1</v>
      </c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22">
        <v>1</v>
      </c>
      <c r="IG107" s="17"/>
      <c r="IH107" s="17"/>
      <c r="II107" s="17"/>
      <c r="IJ107" s="22">
        <v>1</v>
      </c>
      <c r="IK107" s="22">
        <v>1</v>
      </c>
      <c r="IL107" s="22">
        <v>1</v>
      </c>
      <c r="IM107" s="17"/>
      <c r="IN107" s="17"/>
      <c r="IO107" s="17"/>
      <c r="IP107" s="17"/>
      <c r="IQ107" s="17"/>
      <c r="IR107" s="17"/>
      <c r="IS107" s="17"/>
      <c r="IT107" s="22">
        <v>1</v>
      </c>
      <c r="IU107" s="17"/>
      <c r="IV107" s="22">
        <v>1</v>
      </c>
      <c r="IW107" s="17"/>
      <c r="IX107" s="17"/>
      <c r="IY107" s="22">
        <v>1</v>
      </c>
      <c r="IZ107" s="17"/>
      <c r="JA107" s="17"/>
      <c r="JB107" s="17"/>
      <c r="JC107" s="17"/>
      <c r="JD107" s="17"/>
      <c r="JE107" s="17"/>
      <c r="JF107" s="17"/>
      <c r="JG107" s="17"/>
      <c r="JH107" s="22">
        <v>1</v>
      </c>
      <c r="JI107" s="17"/>
      <c r="JJ107" s="17"/>
      <c r="JK107" s="22">
        <v>1</v>
      </c>
      <c r="JL107" s="17"/>
      <c r="JM107" s="17"/>
      <c r="JN107" s="17"/>
      <c r="JO107" s="17"/>
      <c r="JP107" s="17"/>
      <c r="JQ107" s="22">
        <v>1</v>
      </c>
      <c r="JR107" s="22">
        <v>1</v>
      </c>
      <c r="JS107" s="17"/>
      <c r="JT107" s="17"/>
      <c r="JU107" s="17"/>
      <c r="JV107" s="17"/>
      <c r="JW107" s="17"/>
      <c r="JX107" s="22">
        <v>1</v>
      </c>
      <c r="JY107" s="17"/>
      <c r="JZ107" s="22">
        <v>1</v>
      </c>
      <c r="KA107" s="17"/>
      <c r="KB107" s="17"/>
      <c r="KC107" s="22">
        <v>1</v>
      </c>
      <c r="KD107" s="22">
        <v>1</v>
      </c>
      <c r="KE107" s="17"/>
      <c r="KF107" s="22">
        <v>1</v>
      </c>
      <c r="KG107" s="22">
        <v>1</v>
      </c>
      <c r="KH107" s="22">
        <v>1</v>
      </c>
      <c r="KI107" s="22">
        <v>1</v>
      </c>
      <c r="KJ107" s="22">
        <v>1</v>
      </c>
      <c r="KK107" s="22">
        <v>1</v>
      </c>
      <c r="KL107" s="22">
        <v>1</v>
      </c>
      <c r="KM107" s="22">
        <v>1</v>
      </c>
      <c r="KN107" s="22">
        <v>1</v>
      </c>
      <c r="KO107" s="17"/>
      <c r="KP107" s="22">
        <v>1</v>
      </c>
      <c r="KQ107" s="17"/>
      <c r="KR107" s="17"/>
      <c r="KS107" s="17"/>
      <c r="KT107" s="17"/>
      <c r="KU107" s="17"/>
      <c r="KV107" s="17"/>
      <c r="KW107" s="22">
        <v>1</v>
      </c>
      <c r="KX107" s="17"/>
      <c r="KY107" s="22">
        <v>1</v>
      </c>
      <c r="KZ107" s="17"/>
      <c r="LA107" s="22">
        <v>1</v>
      </c>
      <c r="LB107" s="17"/>
      <c r="LC107" s="22">
        <v>1</v>
      </c>
      <c r="LD107" s="17"/>
      <c r="LE107" s="17"/>
      <c r="LF107" s="17"/>
      <c r="LG107" s="22">
        <v>1</v>
      </c>
      <c r="LH107" s="22">
        <v>1</v>
      </c>
      <c r="LI107" s="22">
        <v>1</v>
      </c>
      <c r="LJ107" s="17"/>
      <c r="LK107" s="17"/>
      <c r="LL107" s="22">
        <v>1</v>
      </c>
      <c r="LM107" s="17"/>
      <c r="LN107" s="22">
        <v>1</v>
      </c>
      <c r="LO107" s="22">
        <v>1</v>
      </c>
      <c r="LP107" s="22">
        <v>1</v>
      </c>
      <c r="LQ107" s="22">
        <v>1</v>
      </c>
      <c r="LR107" s="17"/>
      <c r="LS107" s="22">
        <v>1</v>
      </c>
      <c r="LT107" s="17"/>
      <c r="LU107" s="17"/>
      <c r="LV107" s="22">
        <v>1</v>
      </c>
      <c r="LW107" s="17"/>
      <c r="LX107" s="17"/>
      <c r="LY107" s="17"/>
      <c r="LZ107" s="17"/>
      <c r="MA107" s="17"/>
      <c r="MB107" s="17"/>
      <c r="MC107" s="22">
        <v>1</v>
      </c>
      <c r="MD107" s="17"/>
      <c r="ME107" s="22">
        <v>1</v>
      </c>
      <c r="MF107" s="17"/>
      <c r="MG107" s="22">
        <v>1</v>
      </c>
      <c r="MH107" s="22">
        <v>1</v>
      </c>
      <c r="MI107" s="17"/>
      <c r="MJ107" s="22">
        <v>1</v>
      </c>
      <c r="MK107" s="17"/>
      <c r="ML107" s="22">
        <v>1</v>
      </c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22">
        <v>1</v>
      </c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22">
        <v>1</v>
      </c>
      <c r="NN107" s="17"/>
      <c r="NO107" s="17"/>
      <c r="NP107" s="17"/>
      <c r="NQ107" s="17"/>
      <c r="NR107" s="22">
        <v>1</v>
      </c>
      <c r="NS107" s="17"/>
      <c r="NT107" s="17"/>
      <c r="NU107" s="17"/>
      <c r="NV107" s="17"/>
      <c r="NW107" s="22">
        <v>1</v>
      </c>
      <c r="NX107" s="22">
        <v>1</v>
      </c>
      <c r="NY107" s="22">
        <v>1</v>
      </c>
      <c r="NZ107" s="17"/>
      <c r="OA107" s="17"/>
      <c r="OB107" s="17"/>
      <c r="OC107" s="17"/>
      <c r="OD107" s="17"/>
      <c r="OE107" s="17"/>
      <c r="OF107" s="17"/>
      <c r="OG107" s="22">
        <v>1</v>
      </c>
      <c r="OH107" s="17"/>
      <c r="OI107" s="22">
        <v>1</v>
      </c>
      <c r="OJ107" s="22">
        <v>1</v>
      </c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22">
        <v>1</v>
      </c>
      <c r="PB107" s="22">
        <v>1</v>
      </c>
      <c r="PC107" s="17"/>
      <c r="PD107" s="17"/>
      <c r="PE107" s="22">
        <v>1</v>
      </c>
      <c r="PF107" s="22">
        <v>1</v>
      </c>
      <c r="PG107" s="22">
        <v>1</v>
      </c>
      <c r="PH107" s="17"/>
      <c r="PI107" s="22">
        <v>1</v>
      </c>
      <c r="PJ107" s="22">
        <v>1</v>
      </c>
      <c r="PK107" s="17"/>
      <c r="PL107" s="17"/>
      <c r="PM107" s="17"/>
      <c r="PN107" s="17"/>
      <c r="PO107" s="17"/>
      <c r="PP107" s="17"/>
      <c r="PQ107" s="22">
        <v>1</v>
      </c>
      <c r="PR107" s="17"/>
      <c r="PS107" s="17"/>
      <c r="PT107" s="17"/>
      <c r="PU107" s="17"/>
      <c r="PV107" s="17"/>
      <c r="PW107" s="17"/>
      <c r="PX107" s="22" t="s">
        <v>506</v>
      </c>
      <c r="PY107" s="22" t="s">
        <v>506</v>
      </c>
      <c r="PZ107" s="22" t="s">
        <v>507</v>
      </c>
      <c r="QA107" s="22" t="s">
        <v>506</v>
      </c>
      <c r="QB107" s="22" t="s">
        <v>506</v>
      </c>
      <c r="QC107" s="22" t="s">
        <v>507</v>
      </c>
      <c r="QD107" s="22" t="s">
        <v>508</v>
      </c>
      <c r="QE107" s="22" t="s">
        <v>507</v>
      </c>
      <c r="QF107" s="22" t="s">
        <v>508</v>
      </c>
      <c r="QG107" s="22" t="s">
        <v>508</v>
      </c>
      <c r="QH107" s="17"/>
      <c r="QI107" s="22">
        <v>1</v>
      </c>
      <c r="QJ107" s="22">
        <v>1</v>
      </c>
      <c r="QK107" s="22">
        <v>0</v>
      </c>
      <c r="QL107" s="22">
        <v>1</v>
      </c>
      <c r="QM107" s="22">
        <v>0</v>
      </c>
      <c r="QN107" s="22">
        <v>1</v>
      </c>
      <c r="QO107" s="22">
        <v>1</v>
      </c>
      <c r="QP107" s="22">
        <v>1</v>
      </c>
      <c r="QQ107" s="22">
        <v>1</v>
      </c>
      <c r="QR107" s="22">
        <v>1</v>
      </c>
      <c r="QS107" s="22">
        <v>1</v>
      </c>
      <c r="QT107" s="22">
        <v>1</v>
      </c>
      <c r="QU107" s="22">
        <v>1</v>
      </c>
      <c r="QV107" s="22">
        <v>0</v>
      </c>
      <c r="QW107" s="22">
        <v>1</v>
      </c>
      <c r="QX107" s="22">
        <v>1</v>
      </c>
      <c r="QY107" s="22">
        <v>0</v>
      </c>
      <c r="QZ107" s="22">
        <v>1</v>
      </c>
      <c r="RA107" s="22">
        <v>1</v>
      </c>
      <c r="RB107" s="22">
        <v>1</v>
      </c>
      <c r="RC107" s="22">
        <v>1</v>
      </c>
      <c r="RD107" s="22">
        <v>0</v>
      </c>
      <c r="RE107" s="22">
        <v>0</v>
      </c>
      <c r="RF107" s="22">
        <v>0</v>
      </c>
      <c r="RG107" s="17"/>
      <c r="RH107" s="22">
        <v>0</v>
      </c>
      <c r="RI107" s="17"/>
      <c r="RJ107" s="22">
        <v>0</v>
      </c>
      <c r="RK107" s="22">
        <v>0</v>
      </c>
      <c r="RL107" s="22">
        <v>0</v>
      </c>
      <c r="RM107" s="22">
        <v>0</v>
      </c>
      <c r="RN107" s="22">
        <v>1</v>
      </c>
      <c r="RO107" s="22">
        <v>0</v>
      </c>
      <c r="RP107" s="22">
        <v>0</v>
      </c>
      <c r="RQ107" s="22">
        <v>0</v>
      </c>
      <c r="RR107" s="22">
        <v>0</v>
      </c>
      <c r="RS107" s="22">
        <v>1</v>
      </c>
      <c r="RT107" s="22">
        <v>1</v>
      </c>
      <c r="RU107" s="22">
        <v>1</v>
      </c>
      <c r="RV107" s="17"/>
      <c r="RW107" s="22">
        <v>1</v>
      </c>
      <c r="RX107" s="22">
        <v>1</v>
      </c>
      <c r="RY107" s="22">
        <v>1</v>
      </c>
      <c r="RZ107" s="17"/>
      <c r="SA107" s="22">
        <v>0</v>
      </c>
      <c r="SB107" s="22">
        <v>0</v>
      </c>
      <c r="SC107" s="22">
        <v>0</v>
      </c>
      <c r="SD107" s="22">
        <v>0</v>
      </c>
      <c r="SE107" s="22">
        <v>1</v>
      </c>
      <c r="SF107" s="22">
        <v>1</v>
      </c>
      <c r="SG107" s="22">
        <v>1</v>
      </c>
      <c r="SH107" s="22">
        <v>1</v>
      </c>
      <c r="SI107" s="22">
        <v>10109</v>
      </c>
      <c r="SJ107" s="19">
        <f t="shared" si="7"/>
        <v>114</v>
      </c>
      <c r="SK107" s="19">
        <f t="shared" si="8"/>
        <v>119</v>
      </c>
      <c r="SL107" s="19">
        <f t="shared" si="9"/>
        <v>5</v>
      </c>
      <c r="SM107" s="9">
        <v>10109</v>
      </c>
      <c r="SN107" s="9" t="s">
        <v>504</v>
      </c>
      <c r="SO107" s="10">
        <v>1</v>
      </c>
      <c r="SP107" s="9">
        <v>0</v>
      </c>
      <c r="SQ107" s="11" t="s">
        <v>517</v>
      </c>
      <c r="SR107" s="9">
        <v>16</v>
      </c>
      <c r="SS107" s="28">
        <v>56</v>
      </c>
      <c r="ST107" s="28">
        <v>17</v>
      </c>
      <c r="SU107" s="28">
        <v>106</v>
      </c>
      <c r="SV107" s="28">
        <v>12</v>
      </c>
      <c r="SW107" s="28">
        <v>5</v>
      </c>
      <c r="SX107" s="28">
        <v>10</v>
      </c>
      <c r="SY107" s="29">
        <v>35</v>
      </c>
      <c r="SZ107" s="30">
        <v>15</v>
      </c>
      <c r="TA107" s="31">
        <v>17</v>
      </c>
      <c r="TB107" s="31">
        <v>23</v>
      </c>
    </row>
    <row r="108" spans="1:522" ht="15.75" customHeight="1" x14ac:dyDescent="0.2">
      <c r="A108" s="22">
        <v>10110</v>
      </c>
      <c r="B108" s="22" t="s">
        <v>501</v>
      </c>
      <c r="C108" s="22" t="s">
        <v>502</v>
      </c>
      <c r="D108" s="22" t="s">
        <v>535</v>
      </c>
      <c r="E108" s="22" t="s">
        <v>504</v>
      </c>
      <c r="F108" s="23">
        <v>39148</v>
      </c>
      <c r="G108" s="23">
        <v>39715</v>
      </c>
      <c r="H108" s="14">
        <f t="shared" si="6"/>
        <v>18</v>
      </c>
      <c r="I108" s="22" t="s">
        <v>536</v>
      </c>
      <c r="J108" s="22">
        <v>1</v>
      </c>
      <c r="K108" s="22">
        <v>1</v>
      </c>
      <c r="L108" s="22">
        <v>1</v>
      </c>
      <c r="M108" s="22">
        <v>1</v>
      </c>
      <c r="N108" s="22">
        <v>1</v>
      </c>
      <c r="O108" s="22">
        <v>1</v>
      </c>
      <c r="P108" s="17"/>
      <c r="Q108" s="22">
        <v>1</v>
      </c>
      <c r="R108" s="22">
        <v>1</v>
      </c>
      <c r="S108" s="22">
        <v>1</v>
      </c>
      <c r="T108" s="22">
        <v>1</v>
      </c>
      <c r="U108" s="22">
        <v>1</v>
      </c>
      <c r="V108" s="22">
        <v>1</v>
      </c>
      <c r="W108" s="22">
        <v>1</v>
      </c>
      <c r="X108" s="22">
        <v>1</v>
      </c>
      <c r="Y108" s="22">
        <v>1</v>
      </c>
      <c r="Z108" s="22">
        <v>1</v>
      </c>
      <c r="AA108" s="22">
        <v>1</v>
      </c>
      <c r="AB108" s="22">
        <v>1</v>
      </c>
      <c r="AC108" s="22">
        <v>1</v>
      </c>
      <c r="AD108" s="17"/>
      <c r="AE108" s="22">
        <v>1</v>
      </c>
      <c r="AF108" s="22">
        <v>1</v>
      </c>
      <c r="AG108" s="22">
        <v>1</v>
      </c>
      <c r="AH108" s="22">
        <v>1</v>
      </c>
      <c r="AI108" s="22">
        <v>1</v>
      </c>
      <c r="AJ108" s="22">
        <v>1</v>
      </c>
      <c r="AK108" s="22">
        <v>1</v>
      </c>
      <c r="AL108" s="22">
        <v>1</v>
      </c>
      <c r="AM108" s="22">
        <v>1</v>
      </c>
      <c r="AN108" s="22">
        <v>1</v>
      </c>
      <c r="AO108" s="22" t="s">
        <v>508</v>
      </c>
      <c r="AP108" s="22" t="s">
        <v>508</v>
      </c>
      <c r="AQ108" s="17"/>
      <c r="AR108" s="17"/>
      <c r="AS108" s="17"/>
      <c r="AT108" s="17"/>
      <c r="AU108" s="22">
        <v>1</v>
      </c>
      <c r="AV108" s="22">
        <v>1</v>
      </c>
      <c r="AW108" s="17"/>
      <c r="AX108" s="17"/>
      <c r="AY108" s="22">
        <v>1</v>
      </c>
      <c r="AZ108" s="17"/>
      <c r="BA108" s="22">
        <v>2</v>
      </c>
      <c r="BB108" s="22">
        <v>2</v>
      </c>
      <c r="BC108" s="17"/>
      <c r="BD108" s="17"/>
      <c r="BE108" s="17"/>
      <c r="BF108" s="22">
        <v>1</v>
      </c>
      <c r="BG108" s="17"/>
      <c r="BH108" s="22">
        <v>1</v>
      </c>
      <c r="BI108" s="22">
        <v>1</v>
      </c>
      <c r="BJ108" s="22">
        <v>1</v>
      </c>
      <c r="BK108" s="17"/>
      <c r="BL108" s="22">
        <v>1</v>
      </c>
      <c r="BM108" s="17"/>
      <c r="BN108" s="22">
        <v>1</v>
      </c>
      <c r="BO108" s="17"/>
      <c r="BP108" s="22">
        <v>1</v>
      </c>
      <c r="BQ108" s="22">
        <v>1</v>
      </c>
      <c r="BR108" s="22">
        <v>1</v>
      </c>
      <c r="BS108" s="22">
        <v>1</v>
      </c>
      <c r="BT108" s="17"/>
      <c r="BU108" s="17"/>
      <c r="BV108" s="22">
        <v>1</v>
      </c>
      <c r="BW108" s="22">
        <v>1</v>
      </c>
      <c r="BX108" s="17"/>
      <c r="BY108" s="17"/>
      <c r="BZ108" s="22">
        <v>1</v>
      </c>
      <c r="CA108" s="22">
        <v>1</v>
      </c>
      <c r="CB108" s="17"/>
      <c r="CC108" s="17"/>
      <c r="CD108" s="22">
        <v>1</v>
      </c>
      <c r="CE108" s="17"/>
      <c r="CF108" s="22">
        <v>1</v>
      </c>
      <c r="CG108" s="17"/>
      <c r="CH108" s="17"/>
      <c r="CI108" s="17"/>
      <c r="CJ108" s="22">
        <v>1</v>
      </c>
      <c r="CK108" s="17"/>
      <c r="CL108" s="22">
        <v>1</v>
      </c>
      <c r="CM108" s="22">
        <v>1</v>
      </c>
      <c r="CN108" s="17"/>
      <c r="CO108" s="17"/>
      <c r="CP108" s="22">
        <v>1</v>
      </c>
      <c r="CQ108" s="17"/>
      <c r="CR108" s="17"/>
      <c r="CS108" s="22">
        <v>1</v>
      </c>
      <c r="CT108" s="22">
        <v>1</v>
      </c>
      <c r="CU108" s="22">
        <v>1</v>
      </c>
      <c r="CV108" s="22">
        <v>1</v>
      </c>
      <c r="CW108" s="22">
        <v>1</v>
      </c>
      <c r="CX108" s="17"/>
      <c r="CY108" s="22">
        <v>1</v>
      </c>
      <c r="CZ108" s="17"/>
      <c r="DA108" s="17"/>
      <c r="DB108" s="22">
        <v>1</v>
      </c>
      <c r="DC108" s="17"/>
      <c r="DD108" s="22">
        <v>1</v>
      </c>
      <c r="DE108" s="22">
        <v>1</v>
      </c>
      <c r="DF108" s="17"/>
      <c r="DG108" s="17"/>
      <c r="DH108" s="17"/>
      <c r="DI108" s="17"/>
      <c r="DJ108" s="17"/>
      <c r="DK108" s="17"/>
      <c r="DL108" s="17"/>
      <c r="DM108" s="17"/>
      <c r="DN108" s="17"/>
      <c r="DO108" s="22">
        <v>1</v>
      </c>
      <c r="DP108" s="17"/>
      <c r="DQ108" s="17"/>
      <c r="DR108" s="22">
        <v>1</v>
      </c>
      <c r="DS108" s="17"/>
      <c r="DT108" s="17"/>
      <c r="DU108" s="22">
        <v>1</v>
      </c>
      <c r="DV108" s="22">
        <v>1</v>
      </c>
      <c r="DW108" s="22">
        <v>1</v>
      </c>
      <c r="DX108" s="17"/>
      <c r="DY108" s="17"/>
      <c r="DZ108" s="17"/>
      <c r="EA108" s="17"/>
      <c r="EB108" s="17"/>
      <c r="EC108" s="17"/>
      <c r="ED108" s="17"/>
      <c r="EE108" s="17"/>
      <c r="EF108" s="17"/>
      <c r="EG108" s="22">
        <v>1</v>
      </c>
      <c r="EH108" s="17"/>
      <c r="EI108" s="22">
        <v>1</v>
      </c>
      <c r="EJ108" s="17"/>
      <c r="EK108" s="17"/>
      <c r="EL108" s="17"/>
      <c r="EM108" s="22">
        <v>1</v>
      </c>
      <c r="EN108" s="17"/>
      <c r="EO108" s="22">
        <v>1</v>
      </c>
      <c r="EP108" s="17"/>
      <c r="EQ108" s="17"/>
      <c r="ER108" s="17"/>
      <c r="ES108" s="17"/>
      <c r="ET108" s="17"/>
      <c r="EU108" s="17"/>
      <c r="EV108" s="22">
        <v>1</v>
      </c>
      <c r="EW108" s="17"/>
      <c r="EX108" s="22">
        <v>1</v>
      </c>
      <c r="EY108" s="17"/>
      <c r="EZ108" s="17"/>
      <c r="FA108" s="22">
        <v>1</v>
      </c>
      <c r="FB108" s="17"/>
      <c r="FC108" s="17"/>
      <c r="FD108" s="22">
        <v>1</v>
      </c>
      <c r="FE108" s="22">
        <v>1</v>
      </c>
      <c r="FF108" s="17"/>
      <c r="FG108" s="17"/>
      <c r="FH108" s="17"/>
      <c r="FI108" s="22">
        <v>1</v>
      </c>
      <c r="FJ108" s="17"/>
      <c r="FK108" s="22">
        <v>1</v>
      </c>
      <c r="FL108" s="17"/>
      <c r="FM108" s="17"/>
      <c r="FN108" s="17"/>
      <c r="FO108" s="22">
        <v>1</v>
      </c>
      <c r="FP108" s="22">
        <v>1</v>
      </c>
      <c r="FQ108" s="17"/>
      <c r="FR108" s="22">
        <v>1</v>
      </c>
      <c r="FS108" s="22">
        <v>1</v>
      </c>
      <c r="FT108" s="17"/>
      <c r="FU108" s="22">
        <v>1</v>
      </c>
      <c r="FV108" s="17"/>
      <c r="FW108" s="17"/>
      <c r="FX108" s="17"/>
      <c r="FY108" s="17"/>
      <c r="FZ108" s="17"/>
      <c r="GA108" s="17"/>
      <c r="GB108" s="22">
        <v>1</v>
      </c>
      <c r="GC108" s="22">
        <v>1</v>
      </c>
      <c r="GD108" s="17"/>
      <c r="GE108" s="17"/>
      <c r="GF108" s="17"/>
      <c r="GG108" s="22">
        <v>1</v>
      </c>
      <c r="GH108" s="17"/>
      <c r="GI108" s="22">
        <v>1</v>
      </c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22">
        <v>1</v>
      </c>
      <c r="GW108" s="17"/>
      <c r="GX108" s="17"/>
      <c r="GY108" s="22">
        <v>1</v>
      </c>
      <c r="GZ108" s="22">
        <v>1</v>
      </c>
      <c r="HA108" s="17"/>
      <c r="HB108" s="17"/>
      <c r="HC108" s="17"/>
      <c r="HD108" s="17"/>
      <c r="HE108" s="22">
        <v>1</v>
      </c>
      <c r="HF108" s="22">
        <v>1</v>
      </c>
      <c r="HG108" s="17"/>
      <c r="HH108" s="17"/>
      <c r="HI108" s="22">
        <v>1</v>
      </c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22">
        <v>1</v>
      </c>
      <c r="HX108" s="17"/>
      <c r="HY108" s="17"/>
      <c r="HZ108" s="17"/>
      <c r="IA108" s="17"/>
      <c r="IB108" s="17"/>
      <c r="IC108" s="17"/>
      <c r="ID108" s="17"/>
      <c r="IE108" s="17"/>
      <c r="IF108" s="22">
        <v>1</v>
      </c>
      <c r="IG108" s="17"/>
      <c r="IH108" s="22">
        <v>1</v>
      </c>
      <c r="II108" s="17"/>
      <c r="IJ108" s="22">
        <v>1</v>
      </c>
      <c r="IK108" s="22">
        <v>1</v>
      </c>
      <c r="IL108" s="17"/>
      <c r="IM108" s="17"/>
      <c r="IN108" s="17"/>
      <c r="IO108" s="17"/>
      <c r="IP108" s="17"/>
      <c r="IQ108" s="17"/>
      <c r="IR108" s="17"/>
      <c r="IS108" s="17"/>
      <c r="IT108" s="22">
        <v>1</v>
      </c>
      <c r="IU108" s="17"/>
      <c r="IV108" s="17"/>
      <c r="IW108" s="17"/>
      <c r="IX108" s="22">
        <v>1</v>
      </c>
      <c r="IY108" s="22">
        <v>1</v>
      </c>
      <c r="IZ108" s="22">
        <v>1</v>
      </c>
      <c r="JA108" s="22">
        <v>1</v>
      </c>
      <c r="JB108" s="17"/>
      <c r="JC108" s="17"/>
      <c r="JD108" s="17"/>
      <c r="JE108" s="22">
        <v>1</v>
      </c>
      <c r="JF108" s="17"/>
      <c r="JG108" s="17"/>
      <c r="JH108" s="17"/>
      <c r="JI108" s="17"/>
      <c r="JJ108" s="17"/>
      <c r="JK108" s="22">
        <v>1</v>
      </c>
      <c r="JL108" s="17"/>
      <c r="JM108" s="22">
        <v>1</v>
      </c>
      <c r="JN108" s="22">
        <v>1</v>
      </c>
      <c r="JO108" s="17"/>
      <c r="JP108" s="17"/>
      <c r="JQ108" s="22">
        <v>1</v>
      </c>
      <c r="JR108" s="22">
        <v>1</v>
      </c>
      <c r="JS108" s="17"/>
      <c r="JT108" s="22">
        <v>1</v>
      </c>
      <c r="JU108" s="17"/>
      <c r="JV108" s="17"/>
      <c r="JW108" s="17"/>
      <c r="JX108" s="22">
        <v>1</v>
      </c>
      <c r="JY108" s="22">
        <v>1</v>
      </c>
      <c r="JZ108" s="22">
        <v>1</v>
      </c>
      <c r="KA108" s="17"/>
      <c r="KB108" s="17"/>
      <c r="KC108" s="17"/>
      <c r="KD108" s="22">
        <v>1</v>
      </c>
      <c r="KE108" s="17"/>
      <c r="KF108" s="17"/>
      <c r="KG108" s="22">
        <v>1</v>
      </c>
      <c r="KH108" s="22">
        <v>1</v>
      </c>
      <c r="KI108" s="17"/>
      <c r="KJ108" s="22">
        <v>1</v>
      </c>
      <c r="KK108" s="22">
        <v>1</v>
      </c>
      <c r="KL108" s="22">
        <v>1</v>
      </c>
      <c r="KM108" s="17"/>
      <c r="KN108" s="17"/>
      <c r="KO108" s="17"/>
      <c r="KP108" s="22">
        <v>1</v>
      </c>
      <c r="KQ108" s="17"/>
      <c r="KR108" s="17"/>
      <c r="KS108" s="17"/>
      <c r="KT108" s="17"/>
      <c r="KU108" s="17"/>
      <c r="KV108" s="22">
        <v>1</v>
      </c>
      <c r="KW108" s="22">
        <v>1</v>
      </c>
      <c r="KX108" s="22">
        <v>1</v>
      </c>
      <c r="KY108" s="17"/>
      <c r="KZ108" s="17"/>
      <c r="LA108" s="22">
        <v>1</v>
      </c>
      <c r="LB108" s="17"/>
      <c r="LC108" s="22">
        <v>1</v>
      </c>
      <c r="LD108" s="17"/>
      <c r="LE108" s="17"/>
      <c r="LF108" s="17"/>
      <c r="LG108" s="17"/>
      <c r="LH108" s="22">
        <v>1</v>
      </c>
      <c r="LI108" s="22">
        <v>1</v>
      </c>
      <c r="LJ108" s="22">
        <v>1</v>
      </c>
      <c r="LK108" s="17"/>
      <c r="LL108" s="22">
        <v>1</v>
      </c>
      <c r="LM108" s="17"/>
      <c r="LN108" s="17"/>
      <c r="LO108" s="17"/>
      <c r="LP108" s="22">
        <v>1</v>
      </c>
      <c r="LQ108" s="17"/>
      <c r="LR108" s="17"/>
      <c r="LS108" s="22">
        <v>1</v>
      </c>
      <c r="LT108" s="22">
        <v>1</v>
      </c>
      <c r="LU108" s="17"/>
      <c r="LV108" s="17"/>
      <c r="LW108" s="17"/>
      <c r="LX108" s="22">
        <v>1</v>
      </c>
      <c r="LY108" s="22">
        <v>1</v>
      </c>
      <c r="LZ108" s="17"/>
      <c r="MA108" s="17"/>
      <c r="MB108" s="17"/>
      <c r="MC108" s="17"/>
      <c r="MD108" s="17"/>
      <c r="ME108" s="22">
        <v>1</v>
      </c>
      <c r="MF108" s="17"/>
      <c r="MG108" s="17"/>
      <c r="MH108" s="22">
        <v>1</v>
      </c>
      <c r="MI108" s="17"/>
      <c r="MJ108" s="17"/>
      <c r="MK108" s="17"/>
      <c r="ML108" s="22">
        <v>1</v>
      </c>
      <c r="MM108" s="17"/>
      <c r="MN108" s="17"/>
      <c r="MO108" s="17"/>
      <c r="MP108" s="17"/>
      <c r="MQ108" s="22">
        <v>1</v>
      </c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22">
        <v>2</v>
      </c>
      <c r="NC108" s="22">
        <v>1</v>
      </c>
      <c r="ND108" s="17"/>
      <c r="NE108" s="17"/>
      <c r="NF108" s="17"/>
      <c r="NG108" s="17"/>
      <c r="NH108" s="17"/>
      <c r="NI108" s="22">
        <v>1</v>
      </c>
      <c r="NJ108" s="17"/>
      <c r="NK108" s="17"/>
      <c r="NL108" s="17"/>
      <c r="NM108" s="22">
        <v>1</v>
      </c>
      <c r="NN108" s="22">
        <v>1</v>
      </c>
      <c r="NO108" s="17"/>
      <c r="NP108" s="17"/>
      <c r="NQ108" s="17"/>
      <c r="NR108" s="17"/>
      <c r="NS108" s="17"/>
      <c r="NT108" s="17"/>
      <c r="NU108" s="17"/>
      <c r="NV108" s="22">
        <v>1</v>
      </c>
      <c r="NW108" s="22">
        <v>1</v>
      </c>
      <c r="NX108" s="17"/>
      <c r="NY108" s="17"/>
      <c r="NZ108" s="17"/>
      <c r="OA108" s="17"/>
      <c r="OB108" s="17"/>
      <c r="OC108" s="17"/>
      <c r="OD108" s="17"/>
      <c r="OE108" s="17"/>
      <c r="OF108" s="17"/>
      <c r="OG108" s="22">
        <v>1</v>
      </c>
      <c r="OH108" s="17"/>
      <c r="OI108" s="22">
        <v>1</v>
      </c>
      <c r="OJ108" s="22">
        <v>1</v>
      </c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22">
        <v>1</v>
      </c>
      <c r="PG108" s="17"/>
      <c r="PH108" s="22">
        <v>1</v>
      </c>
      <c r="PI108" s="22">
        <v>1</v>
      </c>
      <c r="PJ108" s="22">
        <v>1</v>
      </c>
      <c r="PK108" s="17"/>
      <c r="PL108" s="17"/>
      <c r="PM108" s="17"/>
      <c r="PN108" s="22">
        <v>1</v>
      </c>
      <c r="PO108" s="17"/>
      <c r="PP108" s="17"/>
      <c r="PQ108" s="22">
        <v>1</v>
      </c>
      <c r="PR108" s="17"/>
      <c r="PS108" s="17"/>
      <c r="PT108" s="17"/>
      <c r="PU108" s="17"/>
      <c r="PV108" s="17"/>
      <c r="PW108" s="22" t="s">
        <v>506</v>
      </c>
      <c r="PX108" s="22" t="s">
        <v>506</v>
      </c>
      <c r="PY108" s="22" t="s">
        <v>507</v>
      </c>
      <c r="PZ108" s="22" t="s">
        <v>507</v>
      </c>
      <c r="QA108" s="22" t="s">
        <v>507</v>
      </c>
      <c r="QB108" s="22" t="s">
        <v>506</v>
      </c>
      <c r="QC108" s="22" t="s">
        <v>508</v>
      </c>
      <c r="QD108" s="22" t="s">
        <v>508</v>
      </c>
      <c r="QE108" s="22" t="s">
        <v>506</v>
      </c>
      <c r="QF108" s="22" t="s">
        <v>508</v>
      </c>
      <c r="QG108" s="22" t="s">
        <v>507</v>
      </c>
      <c r="QH108" s="22" t="s">
        <v>506</v>
      </c>
      <c r="QI108" s="22">
        <v>1</v>
      </c>
      <c r="QJ108" s="22">
        <v>0</v>
      </c>
      <c r="QK108" s="22">
        <v>0</v>
      </c>
      <c r="QL108" s="22">
        <v>1</v>
      </c>
      <c r="QM108" s="22">
        <v>1</v>
      </c>
      <c r="QN108" s="22">
        <v>1</v>
      </c>
      <c r="QO108" s="22">
        <v>1</v>
      </c>
      <c r="QP108" s="22">
        <v>1</v>
      </c>
      <c r="QQ108" s="22">
        <v>1</v>
      </c>
      <c r="QR108" s="22">
        <v>1</v>
      </c>
      <c r="QS108" s="22">
        <v>1</v>
      </c>
      <c r="QT108" s="22">
        <v>1</v>
      </c>
      <c r="QU108" s="22">
        <v>1</v>
      </c>
      <c r="QV108" s="22">
        <v>1</v>
      </c>
      <c r="QW108" s="22">
        <v>1</v>
      </c>
      <c r="QX108" s="22">
        <v>0</v>
      </c>
      <c r="QY108" s="22">
        <v>1</v>
      </c>
      <c r="QZ108" s="22">
        <v>1</v>
      </c>
      <c r="RA108" s="22">
        <v>1</v>
      </c>
      <c r="RB108" s="22">
        <v>1</v>
      </c>
      <c r="RC108" s="22">
        <v>1</v>
      </c>
      <c r="RD108" s="22">
        <v>1</v>
      </c>
      <c r="RE108" s="22">
        <v>1</v>
      </c>
      <c r="RF108" s="22">
        <v>0</v>
      </c>
      <c r="RG108" s="22">
        <v>0</v>
      </c>
      <c r="RH108" s="22">
        <v>0</v>
      </c>
      <c r="RI108" s="22">
        <v>0</v>
      </c>
      <c r="RJ108" s="22">
        <v>0</v>
      </c>
      <c r="RK108" s="22">
        <v>0</v>
      </c>
      <c r="RL108" s="22">
        <v>0</v>
      </c>
      <c r="RM108" s="22">
        <v>0</v>
      </c>
      <c r="RN108" s="22">
        <v>0</v>
      </c>
      <c r="RO108" s="22">
        <v>0</v>
      </c>
      <c r="RP108" s="22">
        <v>0</v>
      </c>
      <c r="RQ108" s="22">
        <v>0</v>
      </c>
      <c r="RR108" s="22">
        <v>0</v>
      </c>
      <c r="RS108" s="22">
        <v>0</v>
      </c>
      <c r="RT108" s="22">
        <v>0</v>
      </c>
      <c r="RU108" s="22">
        <v>1</v>
      </c>
      <c r="RV108" s="22">
        <v>0</v>
      </c>
      <c r="RW108" s="22">
        <v>1</v>
      </c>
      <c r="RX108" s="22">
        <v>1</v>
      </c>
      <c r="RY108" s="22">
        <v>1</v>
      </c>
      <c r="RZ108" s="22">
        <v>0</v>
      </c>
      <c r="SA108" s="22">
        <v>1</v>
      </c>
      <c r="SB108" s="22">
        <v>1</v>
      </c>
      <c r="SC108" s="22">
        <v>1</v>
      </c>
      <c r="SD108" s="22">
        <v>1</v>
      </c>
      <c r="SE108" s="22">
        <v>1</v>
      </c>
      <c r="SF108" s="22">
        <v>1</v>
      </c>
      <c r="SG108" s="22">
        <v>1</v>
      </c>
      <c r="SH108" s="22">
        <v>0</v>
      </c>
      <c r="SI108" s="22">
        <v>10110</v>
      </c>
      <c r="SJ108" s="19">
        <f t="shared" si="7"/>
        <v>123</v>
      </c>
      <c r="SK108" s="19">
        <f t="shared" si="8"/>
        <v>126</v>
      </c>
      <c r="SL108" s="19">
        <f t="shared" si="9"/>
        <v>3</v>
      </c>
      <c r="SM108" s="9">
        <v>10110</v>
      </c>
      <c r="SN108" s="9" t="s">
        <v>504</v>
      </c>
      <c r="SO108" s="10">
        <v>4</v>
      </c>
      <c r="SP108" s="9">
        <v>5</v>
      </c>
      <c r="SQ108" s="11" t="s">
        <v>517</v>
      </c>
      <c r="SR108" s="9">
        <v>16</v>
      </c>
      <c r="SS108" s="28">
        <v>66</v>
      </c>
      <c r="ST108" s="28">
        <v>16</v>
      </c>
      <c r="SU108" s="28">
        <v>54</v>
      </c>
      <c r="SV108" s="28">
        <v>7</v>
      </c>
      <c r="SW108" s="28">
        <v>2</v>
      </c>
      <c r="SX108" s="28">
        <v>10</v>
      </c>
      <c r="SY108" s="29">
        <v>30</v>
      </c>
      <c r="SZ108" s="30">
        <v>15</v>
      </c>
      <c r="TA108" s="31">
        <v>18</v>
      </c>
      <c r="TB108" s="31">
        <v>30</v>
      </c>
    </row>
    <row r="109" spans="1:522" ht="15.75" customHeight="1" x14ac:dyDescent="0.2">
      <c r="A109" s="22">
        <v>10111</v>
      </c>
      <c r="B109" s="22" t="s">
        <v>501</v>
      </c>
      <c r="C109" s="22" t="s">
        <v>502</v>
      </c>
      <c r="D109" s="22" t="s">
        <v>535</v>
      </c>
      <c r="E109" s="22" t="s">
        <v>509</v>
      </c>
      <c r="F109" s="23">
        <v>39332</v>
      </c>
      <c r="G109" s="23">
        <v>39889</v>
      </c>
      <c r="H109" s="14">
        <f t="shared" si="6"/>
        <v>18</v>
      </c>
      <c r="I109" s="22" t="s">
        <v>536</v>
      </c>
      <c r="J109" s="22">
        <v>1</v>
      </c>
      <c r="K109" s="22">
        <v>1</v>
      </c>
      <c r="L109" s="22">
        <v>1</v>
      </c>
      <c r="M109" s="22">
        <v>1</v>
      </c>
      <c r="N109" s="22">
        <v>1</v>
      </c>
      <c r="O109" s="22">
        <v>1</v>
      </c>
      <c r="P109" s="22">
        <v>1</v>
      </c>
      <c r="Q109" s="22">
        <v>1</v>
      </c>
      <c r="R109" s="22">
        <v>1</v>
      </c>
      <c r="S109" s="22">
        <v>1</v>
      </c>
      <c r="T109" s="22">
        <v>1</v>
      </c>
      <c r="U109" s="22">
        <v>1</v>
      </c>
      <c r="V109" s="22">
        <v>1</v>
      </c>
      <c r="W109" s="22">
        <v>1</v>
      </c>
      <c r="X109" s="22">
        <v>1</v>
      </c>
      <c r="Y109" s="22">
        <v>1</v>
      </c>
      <c r="Z109" s="22">
        <v>1</v>
      </c>
      <c r="AA109" s="22">
        <v>1</v>
      </c>
      <c r="AB109" s="22">
        <v>1</v>
      </c>
      <c r="AC109" s="22">
        <v>1</v>
      </c>
      <c r="AD109" s="22">
        <v>1</v>
      </c>
      <c r="AE109" s="22">
        <v>1</v>
      </c>
      <c r="AF109" s="22">
        <v>1</v>
      </c>
      <c r="AG109" s="22">
        <v>1</v>
      </c>
      <c r="AH109" s="22">
        <v>1</v>
      </c>
      <c r="AI109" s="22">
        <v>1</v>
      </c>
      <c r="AJ109" s="22">
        <v>1</v>
      </c>
      <c r="AK109" s="22">
        <v>1</v>
      </c>
      <c r="AL109" s="22">
        <v>1</v>
      </c>
      <c r="AM109" s="22">
        <v>1</v>
      </c>
      <c r="AN109" s="17"/>
      <c r="AO109" s="22" t="s">
        <v>507</v>
      </c>
      <c r="AP109" s="22" t="s">
        <v>507</v>
      </c>
      <c r="AQ109" s="17"/>
      <c r="AR109" s="17"/>
      <c r="AS109" s="17"/>
      <c r="AT109" s="17"/>
      <c r="AU109" s="22">
        <v>2</v>
      </c>
      <c r="AV109" s="17"/>
      <c r="AW109" s="22">
        <v>1</v>
      </c>
      <c r="AX109" s="22">
        <v>2</v>
      </c>
      <c r="AY109" s="22">
        <v>2</v>
      </c>
      <c r="AZ109" s="22">
        <v>2</v>
      </c>
      <c r="BA109" s="17"/>
      <c r="BB109" s="22">
        <v>1</v>
      </c>
      <c r="BC109" s="17"/>
      <c r="BD109" s="17"/>
      <c r="BE109" s="17"/>
      <c r="BF109" s="22">
        <v>1</v>
      </c>
      <c r="BG109" s="17"/>
      <c r="BH109" s="22">
        <v>1</v>
      </c>
      <c r="BI109" s="17"/>
      <c r="BJ109" s="17"/>
      <c r="BK109" s="17"/>
      <c r="BL109" s="17"/>
      <c r="BM109" s="17"/>
      <c r="BN109" s="22">
        <v>1</v>
      </c>
      <c r="BO109" s="17"/>
      <c r="BP109" s="22">
        <v>1</v>
      </c>
      <c r="BQ109" s="17"/>
      <c r="BR109" s="17"/>
      <c r="BS109" s="22">
        <v>2</v>
      </c>
      <c r="BT109" s="17"/>
      <c r="BU109" s="17"/>
      <c r="BV109" s="22">
        <v>1</v>
      </c>
      <c r="BW109" s="22">
        <v>2</v>
      </c>
      <c r="BX109" s="17"/>
      <c r="BY109" s="17"/>
      <c r="BZ109" s="17"/>
      <c r="CA109" s="17"/>
      <c r="CB109" s="17"/>
      <c r="CC109" s="17"/>
      <c r="CD109" s="17"/>
      <c r="CE109" s="17"/>
      <c r="CF109" s="22">
        <v>1</v>
      </c>
      <c r="CG109" s="17"/>
      <c r="CH109" s="17"/>
      <c r="CI109" s="17"/>
      <c r="CJ109" s="17"/>
      <c r="CK109" s="17"/>
      <c r="CL109" s="22">
        <v>2</v>
      </c>
      <c r="CM109" s="22">
        <v>1</v>
      </c>
      <c r="CN109" s="22">
        <v>1</v>
      </c>
      <c r="CO109" s="17"/>
      <c r="CP109" s="22">
        <v>1</v>
      </c>
      <c r="CQ109" s="17"/>
      <c r="CR109" s="17"/>
      <c r="CS109" s="22">
        <v>1</v>
      </c>
      <c r="CT109" s="17"/>
      <c r="CU109" s="22">
        <v>1</v>
      </c>
      <c r="CV109" s="22">
        <v>2</v>
      </c>
      <c r="CW109" s="22">
        <v>1</v>
      </c>
      <c r="CX109" s="17"/>
      <c r="CY109" s="22">
        <v>1</v>
      </c>
      <c r="CZ109" s="22">
        <v>2</v>
      </c>
      <c r="DA109" s="17"/>
      <c r="DB109" s="17"/>
      <c r="DC109" s="17"/>
      <c r="DD109" s="17"/>
      <c r="DE109" s="22">
        <v>1</v>
      </c>
      <c r="DF109" s="17"/>
      <c r="DG109" s="17"/>
      <c r="DH109" s="22">
        <v>2</v>
      </c>
      <c r="DI109" s="17"/>
      <c r="DJ109" s="22">
        <v>1</v>
      </c>
      <c r="DK109" s="17"/>
      <c r="DL109" s="17"/>
      <c r="DM109" s="22">
        <v>2</v>
      </c>
      <c r="DN109" s="17"/>
      <c r="DO109" s="17"/>
      <c r="DP109" s="22">
        <v>2</v>
      </c>
      <c r="DQ109" s="22">
        <v>2</v>
      </c>
      <c r="DR109" s="17"/>
      <c r="DS109" s="17"/>
      <c r="DT109" s="17"/>
      <c r="DU109" s="22">
        <v>1</v>
      </c>
      <c r="DV109" s="22">
        <v>1</v>
      </c>
      <c r="DW109" s="17"/>
      <c r="DX109" s="17"/>
      <c r="DY109" s="22">
        <v>2</v>
      </c>
      <c r="DZ109" s="17"/>
      <c r="EA109" s="22">
        <v>2</v>
      </c>
      <c r="EB109" s="17"/>
      <c r="EC109" s="22">
        <v>2</v>
      </c>
      <c r="ED109" s="17"/>
      <c r="EE109" s="17"/>
      <c r="EF109" s="17"/>
      <c r="EG109" s="22">
        <v>2</v>
      </c>
      <c r="EH109" s="22">
        <v>1</v>
      </c>
      <c r="EI109" s="22">
        <v>1</v>
      </c>
      <c r="EJ109" s="17"/>
      <c r="EK109" s="17"/>
      <c r="EL109" s="22">
        <v>1</v>
      </c>
      <c r="EM109" s="22">
        <v>1</v>
      </c>
      <c r="EN109" s="17"/>
      <c r="EO109" s="22">
        <v>1</v>
      </c>
      <c r="EP109" s="22">
        <v>1</v>
      </c>
      <c r="EQ109" s="17"/>
      <c r="ER109" s="22">
        <v>1</v>
      </c>
      <c r="ES109" s="17"/>
      <c r="ET109" s="17"/>
      <c r="EU109" s="17"/>
      <c r="EV109" s="22">
        <v>2</v>
      </c>
      <c r="EW109" s="17"/>
      <c r="EX109" s="22">
        <v>1</v>
      </c>
      <c r="EY109" s="17"/>
      <c r="EZ109" s="17"/>
      <c r="FA109" s="17"/>
      <c r="FB109" s="22">
        <v>1</v>
      </c>
      <c r="FC109" s="22">
        <v>1</v>
      </c>
      <c r="FD109" s="22">
        <v>2</v>
      </c>
      <c r="FE109" s="22">
        <v>2</v>
      </c>
      <c r="FF109" s="22">
        <v>1</v>
      </c>
      <c r="FG109" s="22">
        <v>1</v>
      </c>
      <c r="FH109" s="17"/>
      <c r="FI109" s="17"/>
      <c r="FJ109" s="22">
        <v>1</v>
      </c>
      <c r="FK109" s="17"/>
      <c r="FL109" s="17"/>
      <c r="FM109" s="17"/>
      <c r="FN109" s="22">
        <v>2</v>
      </c>
      <c r="FO109" s="22">
        <v>2</v>
      </c>
      <c r="FP109" s="22">
        <v>1</v>
      </c>
      <c r="FQ109" s="17"/>
      <c r="FR109" s="17"/>
      <c r="FS109" s="17"/>
      <c r="FT109" s="22">
        <v>1</v>
      </c>
      <c r="FU109" s="22">
        <v>1</v>
      </c>
      <c r="FV109" s="17"/>
      <c r="FW109" s="17"/>
      <c r="FX109" s="17"/>
      <c r="FY109" s="17"/>
      <c r="FZ109" s="22">
        <v>1</v>
      </c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22">
        <v>1</v>
      </c>
      <c r="HC109" s="17"/>
      <c r="HD109" s="17"/>
      <c r="HE109" s="17"/>
      <c r="HF109" s="22">
        <v>1</v>
      </c>
      <c r="HG109" s="22">
        <v>1</v>
      </c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22">
        <v>1</v>
      </c>
      <c r="ID109" s="17"/>
      <c r="IE109" s="17"/>
      <c r="IF109" s="22">
        <v>1</v>
      </c>
      <c r="IG109" s="22">
        <v>1</v>
      </c>
      <c r="IH109" s="17"/>
      <c r="II109" s="17"/>
      <c r="IJ109" s="17"/>
      <c r="IK109" s="22">
        <v>1</v>
      </c>
      <c r="IL109" s="22">
        <v>1</v>
      </c>
      <c r="IM109" s="17"/>
      <c r="IN109" s="17"/>
      <c r="IO109" s="17"/>
      <c r="IP109" s="22">
        <v>1</v>
      </c>
      <c r="IQ109" s="17"/>
      <c r="IR109" s="17"/>
      <c r="IS109" s="17"/>
      <c r="IT109" s="22">
        <v>1</v>
      </c>
      <c r="IU109" s="17"/>
      <c r="IV109" s="17"/>
      <c r="IW109" s="17"/>
      <c r="IX109" s="17"/>
      <c r="IY109" s="22">
        <v>1</v>
      </c>
      <c r="IZ109" s="17"/>
      <c r="JA109" s="22">
        <v>1</v>
      </c>
      <c r="JB109" s="17"/>
      <c r="JC109" s="17"/>
      <c r="JD109" s="17"/>
      <c r="JE109" s="22">
        <v>2</v>
      </c>
      <c r="JF109" s="17"/>
      <c r="JG109" s="17"/>
      <c r="JH109" s="17"/>
      <c r="JI109" s="22">
        <v>1</v>
      </c>
      <c r="JJ109" s="17"/>
      <c r="JK109" s="22">
        <v>2</v>
      </c>
      <c r="JL109" s="17"/>
      <c r="JM109" s="22">
        <v>2</v>
      </c>
      <c r="JN109" s="22">
        <v>2</v>
      </c>
      <c r="JO109" s="17"/>
      <c r="JP109" s="17"/>
      <c r="JQ109" s="22">
        <v>2</v>
      </c>
      <c r="JR109" s="17"/>
      <c r="JS109" s="17"/>
      <c r="JT109" s="17"/>
      <c r="JU109" s="22">
        <v>1</v>
      </c>
      <c r="JV109" s="17"/>
      <c r="JW109" s="17"/>
      <c r="JX109" s="22">
        <v>1</v>
      </c>
      <c r="JY109" s="22">
        <v>1</v>
      </c>
      <c r="JZ109" s="22">
        <v>2</v>
      </c>
      <c r="KA109" s="22">
        <v>1</v>
      </c>
      <c r="KB109" s="22">
        <v>1</v>
      </c>
      <c r="KC109" s="17"/>
      <c r="KD109" s="22">
        <v>2</v>
      </c>
      <c r="KE109" s="22">
        <v>1</v>
      </c>
      <c r="KF109" s="22">
        <v>1</v>
      </c>
      <c r="KG109" s="22">
        <v>2</v>
      </c>
      <c r="KH109" s="22">
        <v>2</v>
      </c>
      <c r="KI109" s="17"/>
      <c r="KJ109" s="22">
        <v>2</v>
      </c>
      <c r="KK109" s="22">
        <v>1</v>
      </c>
      <c r="KL109" s="22">
        <v>1</v>
      </c>
      <c r="KM109" s="22">
        <v>1</v>
      </c>
      <c r="KN109" s="22">
        <v>1</v>
      </c>
      <c r="KO109" s="22">
        <v>1</v>
      </c>
      <c r="KP109" s="22">
        <v>1</v>
      </c>
      <c r="KQ109" s="22">
        <v>1</v>
      </c>
      <c r="KR109" s="22">
        <v>1</v>
      </c>
      <c r="KS109" s="17"/>
      <c r="KT109" s="22">
        <v>1</v>
      </c>
      <c r="KU109" s="17"/>
      <c r="KV109" s="22">
        <v>1</v>
      </c>
      <c r="KW109" s="22">
        <v>1</v>
      </c>
      <c r="KX109" s="17"/>
      <c r="KY109" s="22">
        <v>1</v>
      </c>
      <c r="KZ109" s="22">
        <v>1</v>
      </c>
      <c r="LA109" s="22">
        <v>1</v>
      </c>
      <c r="LB109" s="17"/>
      <c r="LC109" s="22">
        <v>1</v>
      </c>
      <c r="LD109" s="22">
        <v>1</v>
      </c>
      <c r="LE109" s="17"/>
      <c r="LF109" s="17"/>
      <c r="LG109" s="22">
        <v>1</v>
      </c>
      <c r="LH109" s="22">
        <v>1</v>
      </c>
      <c r="LI109" s="22">
        <v>1</v>
      </c>
      <c r="LJ109" s="17"/>
      <c r="LK109" s="17"/>
      <c r="LL109" s="22">
        <v>1</v>
      </c>
      <c r="LM109" s="17"/>
      <c r="LN109" s="22">
        <v>1</v>
      </c>
      <c r="LO109" s="22">
        <v>1</v>
      </c>
      <c r="LP109" s="22">
        <v>1</v>
      </c>
      <c r="LQ109" s="22">
        <v>1</v>
      </c>
      <c r="LR109" s="17"/>
      <c r="LS109" s="22">
        <v>1</v>
      </c>
      <c r="LT109" s="22">
        <v>1</v>
      </c>
      <c r="LU109" s="17"/>
      <c r="LV109" s="17"/>
      <c r="LW109" s="17"/>
      <c r="LX109" s="17"/>
      <c r="LY109" s="17"/>
      <c r="LZ109" s="22">
        <v>1</v>
      </c>
      <c r="MA109" s="22">
        <v>1</v>
      </c>
      <c r="MB109" s="17"/>
      <c r="MC109" s="17"/>
      <c r="MD109" s="17"/>
      <c r="ME109" s="22">
        <v>1</v>
      </c>
      <c r="MF109" s="17"/>
      <c r="MG109" s="22">
        <v>1</v>
      </c>
      <c r="MH109" s="22">
        <v>1</v>
      </c>
      <c r="MI109" s="17"/>
      <c r="MJ109" s="22">
        <v>1</v>
      </c>
      <c r="MK109" s="22">
        <v>1</v>
      </c>
      <c r="ML109" s="17"/>
      <c r="MM109" s="22">
        <v>2</v>
      </c>
      <c r="MN109" s="17"/>
      <c r="MO109" s="22">
        <v>1</v>
      </c>
      <c r="MP109" s="22">
        <v>2</v>
      </c>
      <c r="MQ109" s="22">
        <v>1</v>
      </c>
      <c r="MR109" s="22">
        <v>1</v>
      </c>
      <c r="MS109" s="17"/>
      <c r="MT109" s="17"/>
      <c r="MU109" s="17"/>
      <c r="MV109" s="17"/>
      <c r="MW109" s="17"/>
      <c r="MX109" s="17"/>
      <c r="MY109" s="17"/>
      <c r="MZ109" s="17"/>
      <c r="NA109" s="17"/>
      <c r="NB109" s="22">
        <v>1</v>
      </c>
      <c r="NC109" s="17"/>
      <c r="ND109" s="17"/>
      <c r="NE109" s="17"/>
      <c r="NF109" s="17"/>
      <c r="NG109" s="17"/>
      <c r="NH109" s="17"/>
      <c r="NI109" s="22">
        <v>1</v>
      </c>
      <c r="NJ109" s="22">
        <v>2</v>
      </c>
      <c r="NK109" s="17"/>
      <c r="NL109" s="17"/>
      <c r="NM109" s="22">
        <v>1</v>
      </c>
      <c r="NN109" s="17"/>
      <c r="NO109" s="17"/>
      <c r="NP109" s="17"/>
      <c r="NQ109" s="17"/>
      <c r="NR109" s="22">
        <v>1</v>
      </c>
      <c r="NS109" s="22">
        <v>1</v>
      </c>
      <c r="NT109" s="17"/>
      <c r="NU109" s="17"/>
      <c r="NV109" s="22">
        <v>2</v>
      </c>
      <c r="NW109" s="22">
        <v>1</v>
      </c>
      <c r="NX109" s="17"/>
      <c r="NY109" s="17"/>
      <c r="NZ109" s="17"/>
      <c r="OA109" s="22">
        <v>2</v>
      </c>
      <c r="OB109" s="17"/>
      <c r="OC109" s="22">
        <v>1</v>
      </c>
      <c r="OD109" s="17"/>
      <c r="OE109" s="17"/>
      <c r="OF109" s="17"/>
      <c r="OG109" s="17"/>
      <c r="OH109" s="22">
        <v>1</v>
      </c>
      <c r="OI109" s="22">
        <v>1</v>
      </c>
      <c r="OJ109" s="17"/>
      <c r="OK109" s="22">
        <v>1</v>
      </c>
      <c r="OL109" s="22">
        <v>1</v>
      </c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22">
        <v>1</v>
      </c>
      <c r="PR109" s="17"/>
      <c r="PS109" s="17"/>
      <c r="PT109" s="17"/>
      <c r="PU109" s="17"/>
      <c r="PV109" s="17"/>
      <c r="PW109" s="22" t="s">
        <v>506</v>
      </c>
      <c r="PX109" s="17"/>
      <c r="PY109" s="17"/>
      <c r="PZ109" s="17"/>
      <c r="QA109" s="17"/>
      <c r="QB109" s="22" t="s">
        <v>506</v>
      </c>
      <c r="QC109" s="22" t="s">
        <v>507</v>
      </c>
      <c r="QD109" s="22" t="s">
        <v>508</v>
      </c>
      <c r="QE109" s="22" t="s">
        <v>506</v>
      </c>
      <c r="QF109" s="22" t="s">
        <v>508</v>
      </c>
      <c r="QG109" s="22" t="s">
        <v>507</v>
      </c>
      <c r="QH109" s="22" t="s">
        <v>507</v>
      </c>
      <c r="QI109" s="22">
        <v>1</v>
      </c>
      <c r="QJ109" s="17"/>
      <c r="QK109" s="17"/>
      <c r="QL109" s="22">
        <v>1</v>
      </c>
      <c r="QM109" s="22">
        <v>1</v>
      </c>
      <c r="QN109" s="22">
        <v>1</v>
      </c>
      <c r="QO109" s="22">
        <v>1</v>
      </c>
      <c r="QP109" s="22">
        <v>1</v>
      </c>
      <c r="QQ109" s="22">
        <v>1</v>
      </c>
      <c r="QR109" s="22">
        <v>1</v>
      </c>
      <c r="QS109" s="22">
        <v>1</v>
      </c>
      <c r="QT109" s="22">
        <v>1</v>
      </c>
      <c r="QU109" s="22">
        <v>1</v>
      </c>
      <c r="QV109" s="22">
        <v>1</v>
      </c>
      <c r="QW109" s="22">
        <v>1</v>
      </c>
      <c r="QX109" s="22">
        <v>1</v>
      </c>
      <c r="QY109" s="22">
        <v>1</v>
      </c>
      <c r="QZ109" s="22">
        <v>1</v>
      </c>
      <c r="RA109" s="22">
        <v>1</v>
      </c>
      <c r="RB109" s="22">
        <v>1</v>
      </c>
      <c r="RC109" s="22">
        <v>1</v>
      </c>
      <c r="RD109" s="22">
        <v>1</v>
      </c>
      <c r="RE109" s="22">
        <v>1</v>
      </c>
      <c r="RF109" s="22">
        <v>0</v>
      </c>
      <c r="RG109" s="22">
        <v>0</v>
      </c>
      <c r="RH109" s="22">
        <v>0</v>
      </c>
      <c r="RI109" s="22">
        <v>0</v>
      </c>
      <c r="RJ109" s="22">
        <v>0</v>
      </c>
      <c r="RK109" s="22">
        <v>0</v>
      </c>
      <c r="RL109" s="22">
        <v>1</v>
      </c>
      <c r="RM109" s="22">
        <v>0</v>
      </c>
      <c r="RN109" s="22">
        <v>1</v>
      </c>
      <c r="RO109" s="22">
        <v>0</v>
      </c>
      <c r="RP109" s="22">
        <v>0</v>
      </c>
      <c r="RQ109" s="22">
        <v>1</v>
      </c>
      <c r="RR109" s="22">
        <v>0</v>
      </c>
      <c r="RS109" s="22">
        <v>1</v>
      </c>
      <c r="RT109" s="22">
        <v>0</v>
      </c>
      <c r="RU109" s="22">
        <v>1</v>
      </c>
      <c r="RV109" s="22">
        <v>0</v>
      </c>
      <c r="RW109" s="22">
        <v>1</v>
      </c>
      <c r="RX109" s="22">
        <v>1</v>
      </c>
      <c r="RY109" s="22">
        <v>1</v>
      </c>
      <c r="RZ109" s="22">
        <v>1</v>
      </c>
      <c r="SA109" s="22">
        <v>1</v>
      </c>
      <c r="SB109" s="22">
        <v>1</v>
      </c>
      <c r="SC109" s="22">
        <v>0</v>
      </c>
      <c r="SD109" s="22">
        <v>1</v>
      </c>
      <c r="SE109" s="22">
        <v>1</v>
      </c>
      <c r="SF109" s="22">
        <v>1</v>
      </c>
      <c r="SG109" s="22">
        <v>1</v>
      </c>
      <c r="SH109" s="17"/>
      <c r="SI109" s="22">
        <v>10111</v>
      </c>
      <c r="SJ109" s="19">
        <f t="shared" si="7"/>
        <v>104</v>
      </c>
      <c r="SK109" s="19">
        <f t="shared" si="8"/>
        <v>141</v>
      </c>
      <c r="SL109" s="19">
        <f t="shared" si="9"/>
        <v>37</v>
      </c>
      <c r="SM109" s="9">
        <v>10111</v>
      </c>
      <c r="SN109" s="9" t="s">
        <v>509</v>
      </c>
      <c r="SO109" s="10">
        <v>3</v>
      </c>
      <c r="SP109" s="9">
        <v>3</v>
      </c>
      <c r="SQ109" s="11" t="s">
        <v>550</v>
      </c>
      <c r="SR109" s="9">
        <v>13</v>
      </c>
      <c r="SS109" s="28">
        <v>50</v>
      </c>
      <c r="ST109" s="28">
        <v>17</v>
      </c>
      <c r="SU109" s="28">
        <v>86</v>
      </c>
      <c r="SV109" s="28">
        <v>0</v>
      </c>
      <c r="SW109" s="28">
        <v>16</v>
      </c>
      <c r="SX109" s="28">
        <v>12</v>
      </c>
      <c r="SY109" s="29">
        <v>40</v>
      </c>
      <c r="SZ109" s="30">
        <v>20</v>
      </c>
      <c r="TA109" s="31">
        <v>17</v>
      </c>
      <c r="TB109" s="31">
        <v>15</v>
      </c>
    </row>
    <row r="110" spans="1:522" ht="15.75" customHeight="1" x14ac:dyDescent="0.2">
      <c r="A110" s="22">
        <v>10112</v>
      </c>
      <c r="B110" s="22" t="s">
        <v>501</v>
      </c>
      <c r="C110" s="22" t="s">
        <v>502</v>
      </c>
      <c r="D110" s="22" t="s">
        <v>535</v>
      </c>
      <c r="E110" s="22" t="s">
        <v>509</v>
      </c>
      <c r="F110" s="23">
        <v>39353</v>
      </c>
      <c r="G110" s="23">
        <v>39911</v>
      </c>
      <c r="H110" s="14">
        <f t="shared" si="6"/>
        <v>18</v>
      </c>
      <c r="I110" s="22" t="s">
        <v>536</v>
      </c>
      <c r="J110" s="22">
        <v>1</v>
      </c>
      <c r="K110" s="22">
        <v>1</v>
      </c>
      <c r="L110" s="22">
        <v>1</v>
      </c>
      <c r="M110" s="22">
        <v>1</v>
      </c>
      <c r="N110" s="17"/>
      <c r="O110" s="22">
        <v>1</v>
      </c>
      <c r="P110" s="17"/>
      <c r="Q110" s="22">
        <v>1</v>
      </c>
      <c r="R110" s="17"/>
      <c r="S110" s="22">
        <v>1</v>
      </c>
      <c r="T110" s="22">
        <v>1</v>
      </c>
      <c r="U110" s="22">
        <v>1</v>
      </c>
      <c r="V110" s="17"/>
      <c r="W110" s="22">
        <v>1</v>
      </c>
      <c r="X110" s="17"/>
      <c r="Y110" s="22">
        <v>1</v>
      </c>
      <c r="Z110" s="17"/>
      <c r="AA110" s="22">
        <v>1</v>
      </c>
      <c r="AB110" s="17"/>
      <c r="AC110" s="17"/>
      <c r="AD110" s="17"/>
      <c r="AE110" s="22">
        <v>1</v>
      </c>
      <c r="AF110" s="22">
        <v>1</v>
      </c>
      <c r="AG110" s="17"/>
      <c r="AH110" s="17"/>
      <c r="AI110" s="17"/>
      <c r="AJ110" s="17"/>
      <c r="AK110" s="17"/>
      <c r="AL110" s="22">
        <v>1</v>
      </c>
      <c r="AM110" s="17"/>
      <c r="AN110" s="17"/>
      <c r="AO110" s="22" t="s">
        <v>507</v>
      </c>
      <c r="AP110" s="22" t="s">
        <v>507</v>
      </c>
      <c r="AQ110" s="22">
        <v>1</v>
      </c>
      <c r="AR110" s="17"/>
      <c r="AS110" s="17"/>
      <c r="AT110" s="17"/>
      <c r="AU110" s="22">
        <v>1</v>
      </c>
      <c r="AV110" s="22">
        <v>1</v>
      </c>
      <c r="AW110" s="17"/>
      <c r="AX110" s="22">
        <v>2</v>
      </c>
      <c r="AY110" s="22">
        <v>2</v>
      </c>
      <c r="AZ110" s="17"/>
      <c r="BA110" s="22">
        <v>1</v>
      </c>
      <c r="BB110" s="17"/>
      <c r="BC110" s="17"/>
      <c r="BD110" s="17"/>
      <c r="BE110" s="17"/>
      <c r="BF110" s="22">
        <v>1</v>
      </c>
      <c r="BG110" s="17"/>
      <c r="BH110" s="17"/>
      <c r="BI110" s="17"/>
      <c r="BJ110" s="22">
        <v>2</v>
      </c>
      <c r="BK110" s="17"/>
      <c r="BL110" s="22">
        <v>1</v>
      </c>
      <c r="BM110" s="17"/>
      <c r="BN110" s="22">
        <v>1</v>
      </c>
      <c r="BO110" s="17"/>
      <c r="BP110" s="22">
        <v>1</v>
      </c>
      <c r="BQ110" s="22">
        <v>1</v>
      </c>
      <c r="BR110" s="22">
        <v>1</v>
      </c>
      <c r="BS110" s="17"/>
      <c r="BT110" s="17"/>
      <c r="BU110" s="17"/>
      <c r="BV110" s="22">
        <v>1</v>
      </c>
      <c r="BW110" s="22">
        <v>1</v>
      </c>
      <c r="BX110" s="17"/>
      <c r="BY110" s="22">
        <v>1</v>
      </c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22">
        <v>2</v>
      </c>
      <c r="CW110" s="22">
        <v>2</v>
      </c>
      <c r="CX110" s="17"/>
      <c r="CY110" s="22">
        <v>1</v>
      </c>
      <c r="CZ110" s="17"/>
      <c r="DA110" s="17"/>
      <c r="DB110" s="17"/>
      <c r="DC110" s="17"/>
      <c r="DD110" s="22">
        <v>1</v>
      </c>
      <c r="DE110" s="22">
        <v>2</v>
      </c>
      <c r="DF110" s="17"/>
      <c r="DG110" s="17"/>
      <c r="DH110" s="17"/>
      <c r="DI110" s="17"/>
      <c r="DJ110" s="17"/>
      <c r="DK110" s="17"/>
      <c r="DL110" s="17"/>
      <c r="DM110" s="22">
        <v>1</v>
      </c>
      <c r="DN110" s="17"/>
      <c r="DO110" s="17"/>
      <c r="DP110" s="22">
        <v>1</v>
      </c>
      <c r="DQ110" s="17"/>
      <c r="DR110" s="17"/>
      <c r="DS110" s="17"/>
      <c r="DT110" s="17"/>
      <c r="DU110" s="17"/>
      <c r="DV110" s="17"/>
      <c r="DW110" s="22">
        <v>1</v>
      </c>
      <c r="DX110" s="17"/>
      <c r="DY110" s="22">
        <v>1</v>
      </c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22">
        <v>1</v>
      </c>
      <c r="EW110" s="17"/>
      <c r="EX110" s="22">
        <v>1</v>
      </c>
      <c r="EY110" s="17"/>
      <c r="EZ110" s="17"/>
      <c r="FA110" s="22">
        <v>1</v>
      </c>
      <c r="FB110" s="22">
        <v>1</v>
      </c>
      <c r="FC110" s="22">
        <v>1</v>
      </c>
      <c r="FD110" s="22">
        <v>2</v>
      </c>
      <c r="FE110" s="22">
        <v>2</v>
      </c>
      <c r="FF110" s="22">
        <v>1</v>
      </c>
      <c r="FG110" s="17"/>
      <c r="FH110" s="17"/>
      <c r="FI110" s="17"/>
      <c r="FJ110" s="17"/>
      <c r="FK110" s="22">
        <v>2</v>
      </c>
      <c r="FL110" s="17"/>
      <c r="FM110" s="17"/>
      <c r="FN110" s="22">
        <v>2</v>
      </c>
      <c r="FO110" s="22">
        <v>2</v>
      </c>
      <c r="FP110" s="17"/>
      <c r="FQ110" s="22">
        <v>1</v>
      </c>
      <c r="FR110" s="17"/>
      <c r="FS110" s="17"/>
      <c r="FT110" s="17"/>
      <c r="FU110" s="17"/>
      <c r="FV110" s="22">
        <v>1</v>
      </c>
      <c r="FW110" s="17"/>
      <c r="FX110" s="17"/>
      <c r="FY110" s="22">
        <v>1</v>
      </c>
      <c r="FZ110" s="22">
        <v>1</v>
      </c>
      <c r="GA110" s="17"/>
      <c r="GB110" s="17"/>
      <c r="GC110" s="17"/>
      <c r="GD110" s="17"/>
      <c r="GE110" s="17"/>
      <c r="GF110" s="17"/>
      <c r="GG110" s="17"/>
      <c r="GH110" s="17"/>
      <c r="GI110" s="22">
        <v>2</v>
      </c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22">
        <v>1</v>
      </c>
      <c r="GX110" s="22">
        <v>1</v>
      </c>
      <c r="GY110" s="22">
        <v>1</v>
      </c>
      <c r="GZ110" s="17"/>
      <c r="HA110" s="17"/>
      <c r="HB110" s="17"/>
      <c r="HC110" s="17"/>
      <c r="HD110" s="17"/>
      <c r="HE110" s="17"/>
      <c r="HF110" s="22">
        <v>1</v>
      </c>
      <c r="HG110" s="22">
        <v>1</v>
      </c>
      <c r="HH110" s="17"/>
      <c r="HI110" s="17"/>
      <c r="HJ110" s="17"/>
      <c r="HK110" s="17"/>
      <c r="HL110" s="22">
        <v>1</v>
      </c>
      <c r="HM110" s="17"/>
      <c r="HN110" s="17"/>
      <c r="HO110" s="22">
        <v>1</v>
      </c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22">
        <v>1</v>
      </c>
      <c r="IB110" s="22">
        <v>1</v>
      </c>
      <c r="IC110" s="17"/>
      <c r="ID110" s="17"/>
      <c r="IE110" s="17"/>
      <c r="IF110" s="17"/>
      <c r="IG110" s="17"/>
      <c r="IH110" s="17"/>
      <c r="II110" s="22">
        <v>1</v>
      </c>
      <c r="IJ110" s="22">
        <v>1</v>
      </c>
      <c r="IK110" s="22">
        <v>1</v>
      </c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22">
        <v>2</v>
      </c>
      <c r="IW110" s="17"/>
      <c r="IX110" s="22">
        <v>1</v>
      </c>
      <c r="IY110" s="17"/>
      <c r="IZ110" s="17"/>
      <c r="JA110" s="17"/>
      <c r="JB110" s="17"/>
      <c r="JC110" s="17"/>
      <c r="JD110" s="17"/>
      <c r="JE110" s="22">
        <v>1</v>
      </c>
      <c r="JF110" s="17"/>
      <c r="JG110" s="17"/>
      <c r="JH110" s="17"/>
      <c r="JI110" s="17"/>
      <c r="JJ110" s="17"/>
      <c r="JK110" s="22">
        <v>2</v>
      </c>
      <c r="JL110" s="17"/>
      <c r="JM110" s="22">
        <v>1</v>
      </c>
      <c r="JN110" s="17"/>
      <c r="JO110" s="17"/>
      <c r="JP110" s="17"/>
      <c r="JQ110" s="22">
        <v>2</v>
      </c>
      <c r="JR110" s="17"/>
      <c r="JS110" s="17"/>
      <c r="JT110" s="17"/>
      <c r="JU110" s="17"/>
      <c r="JV110" s="17"/>
      <c r="JW110" s="22">
        <v>1</v>
      </c>
      <c r="JX110" s="22">
        <v>1</v>
      </c>
      <c r="JY110" s="17"/>
      <c r="JZ110" s="22">
        <v>2</v>
      </c>
      <c r="KA110" s="17"/>
      <c r="KB110" s="17"/>
      <c r="KC110" s="17"/>
      <c r="KD110" s="22">
        <v>1</v>
      </c>
      <c r="KE110" s="17"/>
      <c r="KF110" s="17"/>
      <c r="KG110" s="17"/>
      <c r="KH110" s="22">
        <v>2</v>
      </c>
      <c r="KI110" s="22">
        <v>1</v>
      </c>
      <c r="KJ110" s="22">
        <v>1</v>
      </c>
      <c r="KK110" s="22">
        <v>1</v>
      </c>
      <c r="KL110" s="17"/>
      <c r="KM110" s="22">
        <v>1</v>
      </c>
      <c r="KN110" s="17"/>
      <c r="KO110" s="17"/>
      <c r="KP110" s="17"/>
      <c r="KQ110" s="22">
        <v>1</v>
      </c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22">
        <v>1</v>
      </c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22">
        <v>1</v>
      </c>
      <c r="LQ110" s="22">
        <v>1</v>
      </c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22">
        <v>1</v>
      </c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22">
        <v>1</v>
      </c>
      <c r="NC110" s="17"/>
      <c r="ND110" s="17"/>
      <c r="NE110" s="17"/>
      <c r="NF110" s="17"/>
      <c r="NG110" s="17"/>
      <c r="NH110" s="22">
        <v>1</v>
      </c>
      <c r="NI110" s="17"/>
      <c r="NJ110" s="17"/>
      <c r="NK110" s="17"/>
      <c r="NL110" s="17"/>
      <c r="NM110" s="17"/>
      <c r="NN110" s="17"/>
      <c r="NO110" s="17"/>
      <c r="NP110" s="17"/>
      <c r="NQ110" s="17"/>
      <c r="NR110" s="22">
        <v>1</v>
      </c>
      <c r="NS110" s="17"/>
      <c r="NT110" s="17"/>
      <c r="NU110" s="17"/>
      <c r="NV110" s="17"/>
      <c r="NW110" s="22">
        <v>1</v>
      </c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22">
        <v>1</v>
      </c>
      <c r="OV110" s="17"/>
      <c r="OW110" s="17"/>
      <c r="OX110" s="17"/>
      <c r="OY110" s="17"/>
      <c r="OZ110" s="17"/>
      <c r="PA110" s="22">
        <v>1</v>
      </c>
      <c r="PB110" s="17"/>
      <c r="PC110" s="17"/>
      <c r="PD110" s="17"/>
      <c r="PE110" s="17"/>
      <c r="PF110" s="22">
        <v>1</v>
      </c>
      <c r="PG110" s="17"/>
      <c r="PH110" s="17"/>
      <c r="PI110" s="22">
        <v>1</v>
      </c>
      <c r="PJ110" s="22">
        <v>1</v>
      </c>
      <c r="PK110" s="17"/>
      <c r="PL110" s="17"/>
      <c r="PM110" s="17"/>
      <c r="PN110" s="22">
        <v>1</v>
      </c>
      <c r="PO110" s="17"/>
      <c r="PP110" s="17"/>
      <c r="PQ110" s="22">
        <v>1</v>
      </c>
      <c r="PR110" s="17"/>
      <c r="PS110" s="17"/>
      <c r="PT110" s="17"/>
      <c r="PU110" s="17"/>
      <c r="PV110" s="17"/>
      <c r="PW110" s="17"/>
      <c r="PX110" s="22" t="s">
        <v>506</v>
      </c>
      <c r="PY110" s="22" t="s">
        <v>506</v>
      </c>
      <c r="PZ110" s="22" t="s">
        <v>507</v>
      </c>
      <c r="QA110" s="22" t="s">
        <v>507</v>
      </c>
      <c r="QB110" s="22" t="s">
        <v>508</v>
      </c>
      <c r="QC110" s="22" t="s">
        <v>508</v>
      </c>
      <c r="QD110" s="22" t="s">
        <v>508</v>
      </c>
      <c r="QE110" s="22" t="s">
        <v>506</v>
      </c>
      <c r="QF110" s="22" t="s">
        <v>507</v>
      </c>
      <c r="QG110" s="22" t="s">
        <v>508</v>
      </c>
      <c r="QH110" s="22" t="s">
        <v>508</v>
      </c>
      <c r="QI110" s="22">
        <v>1</v>
      </c>
      <c r="QJ110" s="22">
        <v>1</v>
      </c>
      <c r="QK110" s="22">
        <v>0</v>
      </c>
      <c r="QL110" s="22">
        <v>1</v>
      </c>
      <c r="QM110" s="22">
        <v>1</v>
      </c>
      <c r="QN110" s="22">
        <v>1</v>
      </c>
      <c r="QO110" s="22">
        <v>1</v>
      </c>
      <c r="QP110" s="22">
        <v>1</v>
      </c>
      <c r="QQ110" s="22">
        <v>1</v>
      </c>
      <c r="QR110" s="22">
        <v>1</v>
      </c>
      <c r="QS110" s="22">
        <v>1</v>
      </c>
      <c r="QT110" s="22">
        <v>1</v>
      </c>
      <c r="QU110" s="22">
        <v>1</v>
      </c>
      <c r="QV110" s="22">
        <v>0</v>
      </c>
      <c r="QW110" s="22">
        <v>0</v>
      </c>
      <c r="QX110" s="22">
        <v>0</v>
      </c>
      <c r="QY110" s="22">
        <v>0</v>
      </c>
      <c r="QZ110" s="22">
        <v>1</v>
      </c>
      <c r="RA110" s="22">
        <v>0</v>
      </c>
      <c r="RB110" s="22">
        <v>1</v>
      </c>
      <c r="RC110" s="22">
        <v>1</v>
      </c>
      <c r="RD110" s="22">
        <v>1</v>
      </c>
      <c r="RE110" s="22">
        <v>0</v>
      </c>
      <c r="RF110" s="22">
        <v>0</v>
      </c>
      <c r="RG110" s="22">
        <v>0</v>
      </c>
      <c r="RH110" s="22">
        <v>1</v>
      </c>
      <c r="RI110" s="22">
        <v>1</v>
      </c>
      <c r="RJ110" s="22">
        <v>1</v>
      </c>
      <c r="RK110" s="22">
        <v>0</v>
      </c>
      <c r="RL110" s="22">
        <v>1</v>
      </c>
      <c r="RM110" s="22">
        <v>0</v>
      </c>
      <c r="RN110" s="22">
        <v>1</v>
      </c>
      <c r="RO110" s="22">
        <v>1</v>
      </c>
      <c r="RP110" s="22">
        <v>0</v>
      </c>
      <c r="RQ110" s="22">
        <v>1</v>
      </c>
      <c r="RR110" s="22">
        <v>1</v>
      </c>
      <c r="RS110" s="22">
        <v>1</v>
      </c>
      <c r="RT110" s="22">
        <v>1</v>
      </c>
      <c r="RU110" s="22">
        <v>0</v>
      </c>
      <c r="RV110" s="22">
        <v>0</v>
      </c>
      <c r="RW110" s="22">
        <v>1</v>
      </c>
      <c r="RX110" s="22">
        <v>1</v>
      </c>
      <c r="RY110" s="22">
        <v>0</v>
      </c>
      <c r="RZ110" s="22">
        <v>1</v>
      </c>
      <c r="SA110" s="22">
        <v>1</v>
      </c>
      <c r="SB110" s="22">
        <v>0</v>
      </c>
      <c r="SC110" s="22">
        <v>0</v>
      </c>
      <c r="SD110" s="22">
        <v>0</v>
      </c>
      <c r="SE110" s="22">
        <v>1</v>
      </c>
      <c r="SF110" s="22">
        <v>0</v>
      </c>
      <c r="SG110" s="22">
        <v>1</v>
      </c>
      <c r="SH110" s="22">
        <v>1</v>
      </c>
      <c r="SI110" s="22">
        <v>10112</v>
      </c>
      <c r="SJ110" s="19">
        <f t="shared" si="7"/>
        <v>67</v>
      </c>
      <c r="SK110" s="19">
        <f t="shared" si="8"/>
        <v>84</v>
      </c>
      <c r="SL110" s="19">
        <f t="shared" si="9"/>
        <v>17</v>
      </c>
      <c r="SM110" s="9">
        <v>10112</v>
      </c>
      <c r="SN110" s="9" t="s">
        <v>509</v>
      </c>
      <c r="SO110" s="10">
        <v>1</v>
      </c>
      <c r="SP110" s="9">
        <v>1</v>
      </c>
      <c r="SQ110" s="11" t="s">
        <v>517</v>
      </c>
      <c r="SR110" s="9">
        <v>17</v>
      </c>
      <c r="SS110" s="28">
        <v>59.5</v>
      </c>
      <c r="ST110" s="28">
        <v>17</v>
      </c>
      <c r="SU110" s="28">
        <v>66</v>
      </c>
      <c r="SV110" s="28">
        <v>0</v>
      </c>
      <c r="SW110" s="28">
        <v>10</v>
      </c>
      <c r="SX110" s="28">
        <v>10</v>
      </c>
      <c r="SY110" s="29">
        <v>40</v>
      </c>
      <c r="SZ110" s="30">
        <v>20</v>
      </c>
      <c r="TA110" s="31">
        <v>10</v>
      </c>
      <c r="TB110" s="31">
        <v>5</v>
      </c>
    </row>
    <row r="111" spans="1:522" ht="15.75" customHeight="1" x14ac:dyDescent="0.2">
      <c r="A111" s="22">
        <v>10113</v>
      </c>
      <c r="B111" s="22" t="s">
        <v>501</v>
      </c>
      <c r="C111" s="22" t="s">
        <v>502</v>
      </c>
      <c r="D111" s="22" t="s">
        <v>535</v>
      </c>
      <c r="E111" s="22" t="s">
        <v>509</v>
      </c>
      <c r="F111" s="23">
        <v>39369</v>
      </c>
      <c r="G111" s="23">
        <v>39924</v>
      </c>
      <c r="H111" s="14">
        <f t="shared" si="6"/>
        <v>18</v>
      </c>
      <c r="I111" s="22" t="s">
        <v>536</v>
      </c>
      <c r="J111" s="22">
        <v>1</v>
      </c>
      <c r="K111" s="22">
        <v>1</v>
      </c>
      <c r="L111" s="22">
        <v>1</v>
      </c>
      <c r="M111" s="17"/>
      <c r="N111" s="17"/>
      <c r="O111" s="17"/>
      <c r="P111" s="17"/>
      <c r="Q111" s="17"/>
      <c r="R111" s="22">
        <v>1</v>
      </c>
      <c r="S111" s="17"/>
      <c r="T111" s="22">
        <v>1</v>
      </c>
      <c r="U111" s="22">
        <v>1</v>
      </c>
      <c r="V111" s="17"/>
      <c r="W111" s="17"/>
      <c r="X111" s="17"/>
      <c r="Y111" s="17"/>
      <c r="Z111" s="17"/>
      <c r="AA111" s="22">
        <v>1</v>
      </c>
      <c r="AB111" s="17"/>
      <c r="AC111" s="22">
        <v>1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22">
        <v>1</v>
      </c>
      <c r="AN111" s="17"/>
      <c r="AO111" s="22" t="s">
        <v>507</v>
      </c>
      <c r="AP111" s="22" t="s">
        <v>508</v>
      </c>
      <c r="AQ111" s="17"/>
      <c r="AR111" s="17"/>
      <c r="AS111" s="17"/>
      <c r="AT111" s="17"/>
      <c r="AU111" s="17"/>
      <c r="AV111" s="17"/>
      <c r="AW111" s="17"/>
      <c r="AX111" s="22">
        <v>2</v>
      </c>
      <c r="AY111" s="17"/>
      <c r="AZ111" s="17"/>
      <c r="BA111" s="22">
        <v>2</v>
      </c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22">
        <v>1</v>
      </c>
      <c r="BO111" s="17"/>
      <c r="BP111" s="22">
        <v>1</v>
      </c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22">
        <v>1</v>
      </c>
      <c r="CW111" s="22">
        <v>1</v>
      </c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22">
        <v>1</v>
      </c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22">
        <v>1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22">
        <v>1</v>
      </c>
      <c r="IL111" s="22">
        <v>1</v>
      </c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22">
        <v>1</v>
      </c>
      <c r="IZ111" s="17"/>
      <c r="JA111" s="22">
        <v>1</v>
      </c>
      <c r="JB111" s="17"/>
      <c r="JC111" s="17"/>
      <c r="JD111" s="17"/>
      <c r="JE111" s="17"/>
      <c r="JF111" s="17"/>
      <c r="JG111" s="17"/>
      <c r="JH111" s="17"/>
      <c r="JI111" s="22">
        <v>2</v>
      </c>
      <c r="JJ111" s="17"/>
      <c r="JK111" s="22">
        <v>1</v>
      </c>
      <c r="JL111" s="17"/>
      <c r="JM111" s="17"/>
      <c r="JN111" s="17"/>
      <c r="JO111" s="17"/>
      <c r="JP111" s="17"/>
      <c r="JQ111" s="22">
        <v>1</v>
      </c>
      <c r="JR111" s="22">
        <v>2</v>
      </c>
      <c r="JS111" s="17"/>
      <c r="JT111" s="17"/>
      <c r="JU111" s="17"/>
      <c r="JV111" s="17"/>
      <c r="JW111" s="17"/>
      <c r="JX111" s="17"/>
      <c r="JY111" s="17"/>
      <c r="JZ111" s="22">
        <v>1</v>
      </c>
      <c r="KA111" s="17"/>
      <c r="KB111" s="17"/>
      <c r="KC111" s="17"/>
      <c r="KD111" s="22">
        <v>1</v>
      </c>
      <c r="KE111" s="17"/>
      <c r="KF111" s="17"/>
      <c r="KG111" s="17"/>
      <c r="KH111" s="22">
        <v>1</v>
      </c>
      <c r="KI111" s="17"/>
      <c r="KJ111" s="22">
        <v>1</v>
      </c>
      <c r="KK111" s="17"/>
      <c r="KL111" s="17"/>
      <c r="KM111" s="17"/>
      <c r="KN111" s="17"/>
      <c r="KO111" s="17"/>
      <c r="KP111" s="17"/>
      <c r="KQ111" s="22">
        <v>1</v>
      </c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22">
        <v>1</v>
      </c>
      <c r="LD111" s="17"/>
      <c r="LE111" s="17"/>
      <c r="LF111" s="17"/>
      <c r="LG111" s="17"/>
      <c r="LH111" s="17"/>
      <c r="LI111" s="17"/>
      <c r="LJ111" s="22">
        <v>1</v>
      </c>
      <c r="LK111" s="17"/>
      <c r="LL111" s="17"/>
      <c r="LM111" s="17"/>
      <c r="LN111" s="17"/>
      <c r="LO111" s="17"/>
      <c r="LP111" s="22">
        <v>1</v>
      </c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22">
        <v>1</v>
      </c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22">
        <v>1</v>
      </c>
      <c r="OD111" s="17"/>
      <c r="OE111" s="17"/>
      <c r="OF111" s="17"/>
      <c r="OG111" s="17"/>
      <c r="OH111" s="17"/>
      <c r="OI111" s="17"/>
      <c r="OJ111" s="22">
        <v>1</v>
      </c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22">
        <v>1</v>
      </c>
      <c r="PR111" s="17"/>
      <c r="PS111" s="17"/>
      <c r="PT111" s="17"/>
      <c r="PU111" s="17"/>
      <c r="PV111" s="17"/>
      <c r="PW111" s="22" t="s">
        <v>507</v>
      </c>
      <c r="PX111" s="22" t="s">
        <v>507</v>
      </c>
      <c r="PY111" s="22" t="s">
        <v>508</v>
      </c>
      <c r="PZ111" s="22" t="s">
        <v>507</v>
      </c>
      <c r="QA111" s="22" t="s">
        <v>507</v>
      </c>
      <c r="QB111" s="22" t="s">
        <v>508</v>
      </c>
      <c r="QC111" s="22" t="s">
        <v>508</v>
      </c>
      <c r="QD111" s="22" t="s">
        <v>508</v>
      </c>
      <c r="QE111" s="22" t="s">
        <v>507</v>
      </c>
      <c r="QF111" s="22" t="s">
        <v>507</v>
      </c>
      <c r="QG111" s="22" t="s">
        <v>508</v>
      </c>
      <c r="QH111" s="22" t="s">
        <v>508</v>
      </c>
      <c r="QI111" s="22">
        <v>0</v>
      </c>
      <c r="QJ111" s="22">
        <v>0</v>
      </c>
      <c r="QK111" s="22">
        <v>0</v>
      </c>
      <c r="QL111" s="22">
        <v>0</v>
      </c>
      <c r="QM111" s="22">
        <v>0</v>
      </c>
      <c r="QN111" s="22">
        <v>1</v>
      </c>
      <c r="QO111" s="22">
        <v>1</v>
      </c>
      <c r="QP111" s="22">
        <v>1</v>
      </c>
      <c r="QQ111" s="22">
        <v>1</v>
      </c>
      <c r="QR111" s="22">
        <v>0</v>
      </c>
      <c r="QS111" s="22">
        <v>0</v>
      </c>
      <c r="QT111" s="22">
        <v>0</v>
      </c>
      <c r="QU111" s="22">
        <v>0</v>
      </c>
      <c r="QV111" s="22">
        <v>0</v>
      </c>
      <c r="QW111" s="22">
        <v>0</v>
      </c>
      <c r="QX111" s="22">
        <v>0</v>
      </c>
      <c r="QY111" s="22">
        <v>0</v>
      </c>
      <c r="QZ111" s="22">
        <v>0</v>
      </c>
      <c r="RA111" s="22">
        <v>0</v>
      </c>
      <c r="RB111" s="22">
        <v>1</v>
      </c>
      <c r="RC111" s="22">
        <v>1</v>
      </c>
      <c r="RD111" s="22">
        <v>0</v>
      </c>
      <c r="RE111" s="22">
        <v>0</v>
      </c>
      <c r="RF111" s="22">
        <v>0</v>
      </c>
      <c r="RG111" s="22">
        <v>0</v>
      </c>
      <c r="RH111" s="22">
        <v>0</v>
      </c>
      <c r="RI111" s="22">
        <v>0</v>
      </c>
      <c r="RJ111" s="22">
        <v>0</v>
      </c>
      <c r="RK111" s="22">
        <v>0</v>
      </c>
      <c r="RL111" s="22">
        <v>1</v>
      </c>
      <c r="RM111" s="22">
        <v>0</v>
      </c>
      <c r="RN111" s="22">
        <v>0</v>
      </c>
      <c r="RO111" s="22">
        <v>0</v>
      </c>
      <c r="RP111" s="22">
        <v>0</v>
      </c>
      <c r="RQ111" s="22">
        <v>0</v>
      </c>
      <c r="RR111" s="22">
        <v>0</v>
      </c>
      <c r="RS111" s="22">
        <v>1</v>
      </c>
      <c r="RT111" s="22">
        <v>1</v>
      </c>
      <c r="RU111" s="22">
        <v>1</v>
      </c>
      <c r="RV111" s="22">
        <v>0</v>
      </c>
      <c r="RW111" s="22">
        <v>1</v>
      </c>
      <c r="RX111" s="22">
        <v>1</v>
      </c>
      <c r="RY111" s="22">
        <v>0</v>
      </c>
      <c r="RZ111" s="22">
        <v>0</v>
      </c>
      <c r="SA111" s="22">
        <v>1</v>
      </c>
      <c r="SB111" s="22">
        <v>0</v>
      </c>
      <c r="SC111" s="22">
        <v>1</v>
      </c>
      <c r="SD111" s="22">
        <v>0</v>
      </c>
      <c r="SE111" s="22">
        <v>0</v>
      </c>
      <c r="SF111" s="22">
        <v>0</v>
      </c>
      <c r="SG111" s="22">
        <v>0</v>
      </c>
      <c r="SH111" s="22">
        <v>0</v>
      </c>
      <c r="SI111" s="22">
        <v>10113</v>
      </c>
      <c r="SJ111" s="19">
        <f t="shared" si="7"/>
        <v>24</v>
      </c>
      <c r="SK111" s="19">
        <f t="shared" si="8"/>
        <v>28</v>
      </c>
      <c r="SL111" s="19">
        <f t="shared" si="9"/>
        <v>4</v>
      </c>
      <c r="SM111" s="9">
        <v>10113</v>
      </c>
      <c r="SN111" s="9" t="s">
        <v>509</v>
      </c>
      <c r="SO111" s="10">
        <v>2</v>
      </c>
      <c r="SP111" s="9">
        <v>2</v>
      </c>
      <c r="SQ111" s="11" t="s">
        <v>517</v>
      </c>
      <c r="SR111" s="9">
        <v>16</v>
      </c>
      <c r="SS111" s="28">
        <v>29</v>
      </c>
      <c r="ST111" s="28">
        <v>16</v>
      </c>
      <c r="SU111" s="28">
        <v>22</v>
      </c>
      <c r="SV111" s="28">
        <v>0</v>
      </c>
      <c r="SW111" s="28">
        <v>1</v>
      </c>
      <c r="SX111" s="28">
        <v>6</v>
      </c>
      <c r="SY111" s="29">
        <v>24</v>
      </c>
      <c r="SZ111" s="30">
        <v>0</v>
      </c>
      <c r="TA111" s="31">
        <v>9</v>
      </c>
      <c r="TB111" s="31">
        <v>8</v>
      </c>
    </row>
    <row r="112" spans="1:522" ht="15.75" customHeight="1" x14ac:dyDescent="0.2">
      <c r="A112" s="22">
        <v>10114</v>
      </c>
      <c r="B112" s="22" t="s">
        <v>501</v>
      </c>
      <c r="C112" s="22" t="s">
        <v>502</v>
      </c>
      <c r="D112" s="22" t="s">
        <v>535</v>
      </c>
      <c r="E112" s="22" t="s">
        <v>509</v>
      </c>
      <c r="F112" s="23">
        <v>39371</v>
      </c>
      <c r="G112" s="23">
        <v>39930</v>
      </c>
      <c r="H112" s="14">
        <f t="shared" si="6"/>
        <v>18</v>
      </c>
      <c r="I112" s="22" t="s">
        <v>536</v>
      </c>
      <c r="J112" s="22">
        <v>1</v>
      </c>
      <c r="K112" s="22">
        <v>1</v>
      </c>
      <c r="L112" s="22">
        <v>1</v>
      </c>
      <c r="M112" s="17"/>
      <c r="N112" s="17"/>
      <c r="O112" s="22">
        <v>1</v>
      </c>
      <c r="P112" s="17"/>
      <c r="Q112" s="22">
        <v>1</v>
      </c>
      <c r="R112" s="22">
        <v>1</v>
      </c>
      <c r="S112" s="22">
        <v>1</v>
      </c>
      <c r="T112" s="22">
        <v>1</v>
      </c>
      <c r="U112" s="17"/>
      <c r="V112" s="22">
        <v>1</v>
      </c>
      <c r="W112" s="17"/>
      <c r="X112" s="17"/>
      <c r="Y112" s="22">
        <v>1</v>
      </c>
      <c r="Z112" s="17"/>
      <c r="AA112" s="17"/>
      <c r="AB112" s="22">
        <v>1</v>
      </c>
      <c r="AC112" s="17"/>
      <c r="AD112" s="17"/>
      <c r="AE112" s="17"/>
      <c r="AF112" s="22">
        <v>1</v>
      </c>
      <c r="AG112" s="17"/>
      <c r="AH112" s="22">
        <v>1</v>
      </c>
      <c r="AI112" s="17"/>
      <c r="AJ112" s="17"/>
      <c r="AK112" s="17"/>
      <c r="AL112" s="17"/>
      <c r="AM112" s="17"/>
      <c r="AN112" s="17"/>
      <c r="AO112" s="22" t="s">
        <v>507</v>
      </c>
      <c r="AP112" s="22" t="s">
        <v>507</v>
      </c>
      <c r="AQ112" s="22">
        <v>2</v>
      </c>
      <c r="AR112" s="17"/>
      <c r="AS112" s="22">
        <v>2</v>
      </c>
      <c r="AT112" s="22">
        <v>2</v>
      </c>
      <c r="AU112" s="17"/>
      <c r="AV112" s="22">
        <v>2</v>
      </c>
      <c r="AW112" s="17"/>
      <c r="AX112" s="22">
        <v>2</v>
      </c>
      <c r="AY112" s="22">
        <v>2</v>
      </c>
      <c r="AZ112" s="17"/>
      <c r="BA112" s="22">
        <v>2</v>
      </c>
      <c r="BB112" s="22">
        <v>2</v>
      </c>
      <c r="BC112" s="22">
        <v>2</v>
      </c>
      <c r="BD112" s="22">
        <v>2</v>
      </c>
      <c r="BE112" s="17"/>
      <c r="BF112" s="22">
        <v>2</v>
      </c>
      <c r="BG112" s="17"/>
      <c r="BH112" s="17"/>
      <c r="BI112" s="17"/>
      <c r="BJ112" s="17"/>
      <c r="BK112" s="17"/>
      <c r="BL112" s="22">
        <v>1</v>
      </c>
      <c r="BM112" s="17"/>
      <c r="BN112" s="22">
        <v>2</v>
      </c>
      <c r="BO112" s="17"/>
      <c r="BP112" s="22">
        <v>1</v>
      </c>
      <c r="BQ112" s="17"/>
      <c r="BR112" s="17"/>
      <c r="BS112" s="17"/>
      <c r="BT112" s="17"/>
      <c r="BU112" s="17"/>
      <c r="BV112" s="22">
        <v>1</v>
      </c>
      <c r="BW112" s="22">
        <v>1</v>
      </c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22">
        <v>1</v>
      </c>
      <c r="CJ112" s="17"/>
      <c r="CK112" s="17"/>
      <c r="CL112" s="17"/>
      <c r="CM112" s="17"/>
      <c r="CN112" s="17"/>
      <c r="CO112" s="17"/>
      <c r="CP112" s="22">
        <v>2</v>
      </c>
      <c r="CQ112" s="17"/>
      <c r="CR112" s="17"/>
      <c r="CS112" s="17"/>
      <c r="CT112" s="17"/>
      <c r="CU112" s="17"/>
      <c r="CV112" s="22">
        <v>2</v>
      </c>
      <c r="CW112" s="17"/>
      <c r="CX112" s="17"/>
      <c r="CY112" s="22">
        <v>1</v>
      </c>
      <c r="CZ112" s="17"/>
      <c r="DA112" s="17"/>
      <c r="DB112" s="17"/>
      <c r="DC112" s="17"/>
      <c r="DD112" s="17"/>
      <c r="DE112" s="22">
        <v>2</v>
      </c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22">
        <v>2</v>
      </c>
      <c r="EW112" s="17"/>
      <c r="EX112" s="22">
        <v>2</v>
      </c>
      <c r="EY112" s="17"/>
      <c r="EZ112" s="17"/>
      <c r="FA112" s="17"/>
      <c r="FB112" s="17"/>
      <c r="FC112" s="17"/>
      <c r="FD112" s="22">
        <v>2</v>
      </c>
      <c r="FE112" s="22">
        <v>2</v>
      </c>
      <c r="FF112" s="17"/>
      <c r="FG112" s="17"/>
      <c r="FH112" s="22">
        <v>1</v>
      </c>
      <c r="FI112" s="22">
        <v>2</v>
      </c>
      <c r="FJ112" s="17"/>
      <c r="FK112" s="17"/>
      <c r="FL112" s="17"/>
      <c r="FM112" s="17"/>
      <c r="FN112" s="22">
        <v>1</v>
      </c>
      <c r="FO112" s="22">
        <v>2</v>
      </c>
      <c r="FP112" s="17"/>
      <c r="FQ112" s="17"/>
      <c r="FR112" s="22">
        <v>1</v>
      </c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22">
        <v>1</v>
      </c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22">
        <v>2</v>
      </c>
      <c r="JL112" s="17"/>
      <c r="JM112" s="17"/>
      <c r="JN112" s="17"/>
      <c r="JO112" s="17"/>
      <c r="JP112" s="17"/>
      <c r="JQ112" s="22">
        <v>2</v>
      </c>
      <c r="JR112" s="22">
        <v>1</v>
      </c>
      <c r="JS112" s="17"/>
      <c r="JT112" s="17"/>
      <c r="JU112" s="17"/>
      <c r="JV112" s="17"/>
      <c r="JW112" s="17"/>
      <c r="JX112" s="22">
        <v>2</v>
      </c>
      <c r="JY112" s="17"/>
      <c r="JZ112" s="17"/>
      <c r="KA112" s="22">
        <v>1</v>
      </c>
      <c r="KB112" s="17"/>
      <c r="KC112" s="17"/>
      <c r="KD112" s="22">
        <v>2</v>
      </c>
      <c r="KE112" s="22">
        <v>1</v>
      </c>
      <c r="KF112" s="17"/>
      <c r="KG112" s="17"/>
      <c r="KH112" s="22">
        <v>2</v>
      </c>
      <c r="KI112" s="17"/>
      <c r="KJ112" s="22">
        <v>2</v>
      </c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22">
        <v>1</v>
      </c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22" t="s">
        <v>506</v>
      </c>
      <c r="PY112" s="22" t="s">
        <v>506</v>
      </c>
      <c r="PZ112" s="22" t="s">
        <v>507</v>
      </c>
      <c r="QA112" s="22" t="s">
        <v>506</v>
      </c>
      <c r="QB112" s="22" t="s">
        <v>506</v>
      </c>
      <c r="QC112" s="22" t="s">
        <v>508</v>
      </c>
      <c r="QD112" s="22" t="s">
        <v>508</v>
      </c>
      <c r="QE112" s="22" t="s">
        <v>506</v>
      </c>
      <c r="QF112" s="22" t="s">
        <v>508</v>
      </c>
      <c r="QG112" s="22" t="s">
        <v>506</v>
      </c>
      <c r="QH112" s="22" t="s">
        <v>508</v>
      </c>
      <c r="QI112" s="22">
        <v>1</v>
      </c>
      <c r="QJ112" s="22">
        <v>1</v>
      </c>
      <c r="QK112" s="22">
        <v>1</v>
      </c>
      <c r="QL112" s="22">
        <v>0</v>
      </c>
      <c r="QM112" s="22">
        <v>0</v>
      </c>
      <c r="QN112" s="22">
        <v>1</v>
      </c>
      <c r="QO112" s="22">
        <v>1</v>
      </c>
      <c r="QP112" s="22">
        <v>1</v>
      </c>
      <c r="QQ112" s="22">
        <v>1</v>
      </c>
      <c r="QR112" s="22">
        <v>0</v>
      </c>
      <c r="QS112" s="22">
        <v>1</v>
      </c>
      <c r="QT112" s="22">
        <v>0</v>
      </c>
      <c r="QU112" s="22">
        <v>1</v>
      </c>
      <c r="QV112" s="22">
        <v>1</v>
      </c>
      <c r="QW112" s="22">
        <v>0</v>
      </c>
      <c r="QX112" s="22">
        <v>1</v>
      </c>
      <c r="QY112" s="22">
        <v>0</v>
      </c>
      <c r="QZ112" s="22">
        <v>0</v>
      </c>
      <c r="RA112" s="22">
        <v>0</v>
      </c>
      <c r="RB112" s="22">
        <v>1</v>
      </c>
      <c r="RC112" s="22">
        <v>0</v>
      </c>
      <c r="RD112" s="22">
        <v>0</v>
      </c>
      <c r="RE112" s="22">
        <v>0</v>
      </c>
      <c r="RF112" s="22">
        <v>0</v>
      </c>
      <c r="RG112" s="22">
        <v>0</v>
      </c>
      <c r="RH112" s="22">
        <v>0</v>
      </c>
      <c r="RI112" s="22">
        <v>0</v>
      </c>
      <c r="RJ112" s="22">
        <v>0</v>
      </c>
      <c r="RK112" s="22">
        <v>0</v>
      </c>
      <c r="RL112" s="22">
        <v>0</v>
      </c>
      <c r="RM112" s="22">
        <v>0</v>
      </c>
      <c r="RN112" s="22">
        <v>1</v>
      </c>
      <c r="RO112" s="22">
        <v>0</v>
      </c>
      <c r="RP112" s="22">
        <v>0</v>
      </c>
      <c r="RQ112" s="22">
        <v>0</v>
      </c>
      <c r="RR112" s="22">
        <v>0</v>
      </c>
      <c r="RS112" s="22">
        <v>0</v>
      </c>
      <c r="RT112" s="22">
        <v>0</v>
      </c>
      <c r="RU112" s="22">
        <v>0</v>
      </c>
      <c r="RV112" s="22">
        <v>0</v>
      </c>
      <c r="RW112" s="22">
        <v>1</v>
      </c>
      <c r="RX112" s="22">
        <v>1</v>
      </c>
      <c r="RY112" s="22">
        <v>0</v>
      </c>
      <c r="RZ112" s="22">
        <v>0</v>
      </c>
      <c r="SA112" s="22">
        <v>1</v>
      </c>
      <c r="SB112" s="22">
        <v>0</v>
      </c>
      <c r="SC112" s="22">
        <v>0</v>
      </c>
      <c r="SD112" s="22">
        <v>0</v>
      </c>
      <c r="SE112" s="22">
        <v>1</v>
      </c>
      <c r="SF112" s="22">
        <v>1</v>
      </c>
      <c r="SG112" s="22">
        <v>0</v>
      </c>
      <c r="SH112" s="22">
        <v>0</v>
      </c>
      <c r="SI112" s="22">
        <v>10114</v>
      </c>
      <c r="SJ112" s="19">
        <f t="shared" si="7"/>
        <v>14</v>
      </c>
      <c r="SK112" s="19">
        <f t="shared" si="8"/>
        <v>41</v>
      </c>
      <c r="SL112" s="19">
        <f t="shared" si="9"/>
        <v>27</v>
      </c>
      <c r="SM112" s="9">
        <v>10114</v>
      </c>
      <c r="SN112" s="9" t="s">
        <v>509</v>
      </c>
      <c r="SO112" s="10">
        <v>2</v>
      </c>
      <c r="SP112" s="9">
        <v>2</v>
      </c>
      <c r="SQ112" s="11" t="s">
        <v>517</v>
      </c>
      <c r="SR112" s="9">
        <v>18</v>
      </c>
      <c r="SS112" s="28">
        <v>66</v>
      </c>
      <c r="ST112" s="28">
        <v>17</v>
      </c>
      <c r="SU112" s="28">
        <v>32</v>
      </c>
      <c r="SV112" s="28">
        <v>0</v>
      </c>
      <c r="SW112" s="28">
        <v>15</v>
      </c>
      <c r="SX112" s="28">
        <v>11</v>
      </c>
      <c r="SY112" s="29">
        <v>28</v>
      </c>
      <c r="SZ112" s="30">
        <v>0</v>
      </c>
      <c r="TA112" s="31">
        <v>14</v>
      </c>
      <c r="TB112" s="31">
        <v>10</v>
      </c>
    </row>
    <row r="113" spans="1:522" ht="15.75" customHeight="1" x14ac:dyDescent="0.2">
      <c r="A113" s="22">
        <v>10115</v>
      </c>
      <c r="B113" s="22" t="s">
        <v>501</v>
      </c>
      <c r="C113" s="22" t="s">
        <v>502</v>
      </c>
      <c r="D113" s="22" t="s">
        <v>535</v>
      </c>
      <c r="E113" s="22" t="s">
        <v>504</v>
      </c>
      <c r="F113" s="23">
        <v>39391</v>
      </c>
      <c r="G113" s="23">
        <v>39942</v>
      </c>
      <c r="H113" s="14">
        <f t="shared" si="6"/>
        <v>18</v>
      </c>
      <c r="I113" s="22" t="s">
        <v>538</v>
      </c>
      <c r="J113" s="22">
        <v>1</v>
      </c>
      <c r="K113" s="22">
        <v>1</v>
      </c>
      <c r="L113" s="22">
        <v>1</v>
      </c>
      <c r="M113" s="22">
        <v>1</v>
      </c>
      <c r="N113" s="17"/>
      <c r="O113" s="22">
        <v>1</v>
      </c>
      <c r="P113" s="17"/>
      <c r="Q113" s="22">
        <v>1</v>
      </c>
      <c r="R113" s="22">
        <v>1</v>
      </c>
      <c r="S113" s="22">
        <v>1</v>
      </c>
      <c r="T113" s="22">
        <v>1</v>
      </c>
      <c r="U113" s="17"/>
      <c r="V113" s="17"/>
      <c r="W113" s="22">
        <v>1</v>
      </c>
      <c r="X113" s="22">
        <v>1</v>
      </c>
      <c r="Y113" s="22">
        <v>1</v>
      </c>
      <c r="Z113" s="17"/>
      <c r="AA113" s="17"/>
      <c r="AB113" s="22">
        <v>1</v>
      </c>
      <c r="AC113" s="22">
        <v>1</v>
      </c>
      <c r="AD113" s="17"/>
      <c r="AE113" s="22">
        <v>1</v>
      </c>
      <c r="AF113" s="22">
        <v>1</v>
      </c>
      <c r="AG113" s="22">
        <v>1</v>
      </c>
      <c r="AH113" s="17"/>
      <c r="AI113" s="17"/>
      <c r="AJ113" s="17"/>
      <c r="AK113" s="17"/>
      <c r="AL113" s="22">
        <v>1</v>
      </c>
      <c r="AM113" s="17"/>
      <c r="AN113" s="17"/>
      <c r="AO113" s="22" t="s">
        <v>508</v>
      </c>
      <c r="AP113" s="22" t="s">
        <v>508</v>
      </c>
      <c r="AQ113" s="22">
        <v>1</v>
      </c>
      <c r="AR113" s="22">
        <v>1</v>
      </c>
      <c r="AS113" s="17"/>
      <c r="AT113" s="22">
        <v>1</v>
      </c>
      <c r="AU113" s="22">
        <v>1</v>
      </c>
      <c r="AV113" s="22">
        <v>1</v>
      </c>
      <c r="AW113" s="22">
        <v>1</v>
      </c>
      <c r="AX113" s="22">
        <v>1</v>
      </c>
      <c r="AY113" s="22">
        <v>1</v>
      </c>
      <c r="AZ113" s="17"/>
      <c r="BA113" s="22">
        <v>1</v>
      </c>
      <c r="BB113" s="17"/>
      <c r="BC113" s="17"/>
      <c r="BD113" s="22">
        <v>1</v>
      </c>
      <c r="BE113" s="22">
        <v>1</v>
      </c>
      <c r="BF113" s="22">
        <v>1</v>
      </c>
      <c r="BG113" s="17"/>
      <c r="BH113" s="22">
        <v>1</v>
      </c>
      <c r="BI113" s="22">
        <v>1</v>
      </c>
      <c r="BJ113" s="22">
        <v>1</v>
      </c>
      <c r="BK113" s="22">
        <v>1</v>
      </c>
      <c r="BL113" s="22">
        <v>1</v>
      </c>
      <c r="BM113" s="22">
        <v>1</v>
      </c>
      <c r="BN113" s="22">
        <v>1</v>
      </c>
      <c r="BO113" s="17"/>
      <c r="BP113" s="22">
        <v>1</v>
      </c>
      <c r="BQ113" s="22">
        <v>1</v>
      </c>
      <c r="BR113" s="22">
        <v>1</v>
      </c>
      <c r="BS113" s="22">
        <v>1</v>
      </c>
      <c r="BT113" s="22">
        <v>1</v>
      </c>
      <c r="BU113" s="22">
        <v>1</v>
      </c>
      <c r="BV113" s="22">
        <v>1</v>
      </c>
      <c r="BW113" s="22">
        <v>1</v>
      </c>
      <c r="BX113" s="22">
        <v>1</v>
      </c>
      <c r="BY113" s="22">
        <v>1</v>
      </c>
      <c r="BZ113" s="22">
        <v>1</v>
      </c>
      <c r="CA113" s="22">
        <v>1</v>
      </c>
      <c r="CB113" s="22">
        <v>1</v>
      </c>
      <c r="CC113" s="22">
        <v>1</v>
      </c>
      <c r="CD113" s="22">
        <v>1</v>
      </c>
      <c r="CE113" s="22">
        <v>1</v>
      </c>
      <c r="CF113" s="22">
        <v>1</v>
      </c>
      <c r="CG113" s="22">
        <v>1</v>
      </c>
      <c r="CH113" s="22">
        <v>1</v>
      </c>
      <c r="CI113" s="17"/>
      <c r="CJ113" s="22">
        <v>1</v>
      </c>
      <c r="CK113" s="17"/>
      <c r="CL113" s="22">
        <v>1</v>
      </c>
      <c r="CM113" s="22">
        <v>1</v>
      </c>
      <c r="CN113" s="17"/>
      <c r="CO113" s="22">
        <v>1</v>
      </c>
      <c r="CP113" s="22">
        <v>1</v>
      </c>
      <c r="CQ113" s="22">
        <v>1</v>
      </c>
      <c r="CR113" s="22">
        <v>1</v>
      </c>
      <c r="CS113" s="17"/>
      <c r="CT113" s="22">
        <v>1</v>
      </c>
      <c r="CU113" s="22">
        <v>1</v>
      </c>
      <c r="CV113" s="17"/>
      <c r="CW113" s="22">
        <v>1</v>
      </c>
      <c r="CX113" s="17"/>
      <c r="CY113" s="17"/>
      <c r="CZ113" s="22">
        <v>1</v>
      </c>
      <c r="DA113" s="22">
        <v>1</v>
      </c>
      <c r="DB113" s="17"/>
      <c r="DC113" s="17"/>
      <c r="DD113" s="22">
        <v>1</v>
      </c>
      <c r="DE113" s="22">
        <v>1</v>
      </c>
      <c r="DF113" s="22">
        <v>1</v>
      </c>
      <c r="DG113" s="17"/>
      <c r="DH113" s="22">
        <v>1</v>
      </c>
      <c r="DI113" s="17"/>
      <c r="DJ113" s="22">
        <v>1</v>
      </c>
      <c r="DK113" s="22">
        <v>1</v>
      </c>
      <c r="DL113" s="22">
        <v>1</v>
      </c>
      <c r="DM113" s="22">
        <v>1</v>
      </c>
      <c r="DN113" s="17"/>
      <c r="DO113" s="17"/>
      <c r="DP113" s="17"/>
      <c r="DQ113" s="22">
        <v>1</v>
      </c>
      <c r="DR113" s="22">
        <v>1</v>
      </c>
      <c r="DS113" s="22">
        <v>1</v>
      </c>
      <c r="DT113" s="17"/>
      <c r="DU113" s="17"/>
      <c r="DV113" s="17"/>
      <c r="DW113" s="22">
        <v>1</v>
      </c>
      <c r="DX113" s="17"/>
      <c r="DY113" s="22">
        <v>1</v>
      </c>
      <c r="DZ113" s="22">
        <v>1</v>
      </c>
      <c r="EA113" s="22">
        <v>1</v>
      </c>
      <c r="EB113" s="17"/>
      <c r="EC113" s="17"/>
      <c r="ED113" s="22">
        <v>1</v>
      </c>
      <c r="EE113" s="17"/>
      <c r="EF113" s="17"/>
      <c r="EG113" s="22">
        <v>1</v>
      </c>
      <c r="EH113" s="17"/>
      <c r="EI113" s="17"/>
      <c r="EJ113" s="17"/>
      <c r="EK113" s="17"/>
      <c r="EL113" s="17"/>
      <c r="EM113" s="22">
        <v>1</v>
      </c>
      <c r="EN113" s="17"/>
      <c r="EO113" s="22">
        <v>1</v>
      </c>
      <c r="EP113" s="22">
        <v>1</v>
      </c>
      <c r="EQ113" s="17"/>
      <c r="ER113" s="17"/>
      <c r="ES113" s="17"/>
      <c r="ET113" s="17"/>
      <c r="EU113" s="22">
        <v>1</v>
      </c>
      <c r="EV113" s="22">
        <v>1</v>
      </c>
      <c r="EW113" s="17"/>
      <c r="EX113" s="22">
        <v>1</v>
      </c>
      <c r="EY113" s="17"/>
      <c r="EZ113" s="17"/>
      <c r="FA113" s="17"/>
      <c r="FB113" s="22">
        <v>1</v>
      </c>
      <c r="FC113" s="17"/>
      <c r="FD113" s="22">
        <v>1</v>
      </c>
      <c r="FE113" s="22">
        <v>1</v>
      </c>
      <c r="FF113" s="22">
        <v>1</v>
      </c>
      <c r="FG113" s="22">
        <v>1</v>
      </c>
      <c r="FH113" s="22">
        <v>1</v>
      </c>
      <c r="FI113" s="22">
        <v>1</v>
      </c>
      <c r="FJ113" s="22">
        <v>1</v>
      </c>
      <c r="FK113" s="22">
        <v>1</v>
      </c>
      <c r="FL113" s="17"/>
      <c r="FM113" s="17"/>
      <c r="FN113" s="22">
        <v>1</v>
      </c>
      <c r="FO113" s="22">
        <v>1</v>
      </c>
      <c r="FP113" s="22">
        <v>1</v>
      </c>
      <c r="FQ113" s="22">
        <v>1</v>
      </c>
      <c r="FR113" s="22">
        <v>1</v>
      </c>
      <c r="FS113" s="22">
        <v>1</v>
      </c>
      <c r="FT113" s="22">
        <v>1</v>
      </c>
      <c r="FU113" s="17"/>
      <c r="FV113" s="22">
        <v>1</v>
      </c>
      <c r="FW113" s="22">
        <v>1</v>
      </c>
      <c r="FX113" s="17"/>
      <c r="FY113" s="17"/>
      <c r="FZ113" s="17"/>
      <c r="GA113" s="17"/>
      <c r="GB113" s="22">
        <v>1</v>
      </c>
      <c r="GC113" s="22">
        <v>1</v>
      </c>
      <c r="GD113" s="17"/>
      <c r="GE113" s="22">
        <v>1</v>
      </c>
      <c r="GF113" s="17"/>
      <c r="GG113" s="22">
        <v>1</v>
      </c>
      <c r="GH113" s="17"/>
      <c r="GI113" s="22">
        <v>1</v>
      </c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22">
        <v>1</v>
      </c>
      <c r="GY113" s="17"/>
      <c r="GZ113" s="22">
        <v>1</v>
      </c>
      <c r="HA113" s="17"/>
      <c r="HB113" s="17"/>
      <c r="HC113" s="17"/>
      <c r="HD113" s="17"/>
      <c r="HE113" s="17"/>
      <c r="HF113" s="17"/>
      <c r="HG113" s="22">
        <v>1</v>
      </c>
      <c r="HH113" s="17"/>
      <c r="HI113" s="22">
        <v>1</v>
      </c>
      <c r="HJ113" s="17"/>
      <c r="HK113" s="17"/>
      <c r="HL113" s="22">
        <v>1</v>
      </c>
      <c r="HM113" s="17"/>
      <c r="HN113" s="17"/>
      <c r="HO113" s="22">
        <v>1</v>
      </c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22">
        <v>1</v>
      </c>
      <c r="ID113" s="17"/>
      <c r="IE113" s="17"/>
      <c r="IF113" s="17"/>
      <c r="IG113" s="17"/>
      <c r="IH113" s="17"/>
      <c r="II113" s="17"/>
      <c r="IJ113" s="17"/>
      <c r="IK113" s="22">
        <v>1</v>
      </c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22">
        <v>1</v>
      </c>
      <c r="JA113" s="17"/>
      <c r="JB113" s="17"/>
      <c r="JC113" s="17"/>
      <c r="JD113" s="17"/>
      <c r="JE113" s="22">
        <v>1</v>
      </c>
      <c r="JF113" s="22">
        <v>1</v>
      </c>
      <c r="JG113" s="22">
        <v>1</v>
      </c>
      <c r="JH113" s="17"/>
      <c r="JI113" s="22">
        <v>1</v>
      </c>
      <c r="JJ113" s="17"/>
      <c r="JK113" s="22">
        <v>1</v>
      </c>
      <c r="JL113" s="17"/>
      <c r="JM113" s="22">
        <v>1</v>
      </c>
      <c r="JN113" s="17"/>
      <c r="JO113" s="17"/>
      <c r="JP113" s="22">
        <v>1</v>
      </c>
      <c r="JQ113" s="22">
        <v>1</v>
      </c>
      <c r="JR113" s="22">
        <v>1</v>
      </c>
      <c r="JS113" s="17"/>
      <c r="JT113" s="17"/>
      <c r="JU113" s="17"/>
      <c r="JV113" s="17"/>
      <c r="JW113" s="17"/>
      <c r="JX113" s="22">
        <v>1</v>
      </c>
      <c r="JY113" s="17"/>
      <c r="JZ113" s="22">
        <v>1</v>
      </c>
      <c r="KA113" s="22">
        <v>1</v>
      </c>
      <c r="KB113" s="17"/>
      <c r="KC113" s="17"/>
      <c r="KD113" s="22">
        <v>1</v>
      </c>
      <c r="KE113" s="17"/>
      <c r="KF113" s="17"/>
      <c r="KG113" s="22">
        <v>1</v>
      </c>
      <c r="KH113" s="22">
        <v>1</v>
      </c>
      <c r="KI113" s="17"/>
      <c r="KJ113" s="22">
        <v>1</v>
      </c>
      <c r="KK113" s="17"/>
      <c r="KL113" s="17"/>
      <c r="KM113" s="17"/>
      <c r="KN113" s="17"/>
      <c r="KO113" s="17"/>
      <c r="KP113" s="17"/>
      <c r="KQ113" s="17"/>
      <c r="KR113" s="22">
        <v>1</v>
      </c>
      <c r="KS113" s="17"/>
      <c r="KT113" s="17"/>
      <c r="KU113" s="17"/>
      <c r="KV113" s="17"/>
      <c r="KW113" s="22">
        <v>1</v>
      </c>
      <c r="KX113" s="17"/>
      <c r="KY113" s="22">
        <v>1</v>
      </c>
      <c r="KZ113" s="22">
        <v>1</v>
      </c>
      <c r="LA113" s="17"/>
      <c r="LB113" s="22">
        <v>1</v>
      </c>
      <c r="LC113" s="22">
        <v>1</v>
      </c>
      <c r="LD113" s="17"/>
      <c r="LE113" s="17"/>
      <c r="LF113" s="17"/>
      <c r="LG113" s="22">
        <v>1</v>
      </c>
      <c r="LH113" s="22">
        <v>1</v>
      </c>
      <c r="LI113" s="17"/>
      <c r="LJ113" s="17"/>
      <c r="LK113" s="17"/>
      <c r="LL113" s="22">
        <v>1</v>
      </c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22">
        <v>1</v>
      </c>
      <c r="LY113" s="17"/>
      <c r="LZ113" s="17"/>
      <c r="MA113" s="17"/>
      <c r="MB113" s="17"/>
      <c r="MC113" s="17"/>
      <c r="MD113" s="17"/>
      <c r="ME113" s="22">
        <v>1</v>
      </c>
      <c r="MF113" s="17"/>
      <c r="MG113" s="17"/>
      <c r="MH113" s="22">
        <v>1</v>
      </c>
      <c r="MI113" s="17"/>
      <c r="MJ113" s="17"/>
      <c r="MK113" s="17"/>
      <c r="ML113" s="22">
        <v>1</v>
      </c>
      <c r="MM113" s="17"/>
      <c r="MN113" s="17"/>
      <c r="MO113" s="17"/>
      <c r="MP113" s="22">
        <v>1</v>
      </c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22">
        <v>1</v>
      </c>
      <c r="NC113" s="22">
        <v>1</v>
      </c>
      <c r="ND113" s="17"/>
      <c r="NE113" s="22">
        <v>1</v>
      </c>
      <c r="NF113" s="17"/>
      <c r="NG113" s="17"/>
      <c r="NH113" s="17"/>
      <c r="NI113" s="17"/>
      <c r="NJ113" s="17"/>
      <c r="NK113" s="17"/>
      <c r="NL113" s="17"/>
      <c r="NM113" s="22">
        <v>1</v>
      </c>
      <c r="NN113" s="17"/>
      <c r="NO113" s="17"/>
      <c r="NP113" s="17"/>
      <c r="NQ113" s="17"/>
      <c r="NR113" s="22">
        <v>1</v>
      </c>
      <c r="NS113" s="17"/>
      <c r="NT113" s="17"/>
      <c r="NU113" s="17"/>
      <c r="NV113" s="22">
        <v>1</v>
      </c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22" t="s">
        <v>507</v>
      </c>
      <c r="PX113" s="22" t="s">
        <v>507</v>
      </c>
      <c r="PY113" s="22" t="s">
        <v>506</v>
      </c>
      <c r="PZ113" s="22" t="s">
        <v>508</v>
      </c>
      <c r="QA113" s="22" t="s">
        <v>506</v>
      </c>
      <c r="QB113" s="22" t="s">
        <v>506</v>
      </c>
      <c r="QC113" s="17"/>
      <c r="QD113" s="22" t="s">
        <v>508</v>
      </c>
      <c r="QE113" s="22" t="s">
        <v>508</v>
      </c>
      <c r="QF113" s="22" t="s">
        <v>507</v>
      </c>
      <c r="QG113" s="22" t="s">
        <v>508</v>
      </c>
      <c r="QH113" s="22" t="s">
        <v>507</v>
      </c>
      <c r="QI113" s="22">
        <v>1</v>
      </c>
      <c r="QJ113" s="17"/>
      <c r="QK113" s="22">
        <v>0</v>
      </c>
      <c r="QL113" s="22">
        <v>1</v>
      </c>
      <c r="QM113" s="17"/>
      <c r="QN113" s="22">
        <v>1</v>
      </c>
      <c r="QO113" s="22">
        <v>1</v>
      </c>
      <c r="QP113" s="22">
        <v>1</v>
      </c>
      <c r="QQ113" s="22">
        <v>1</v>
      </c>
      <c r="QR113" s="22">
        <v>1</v>
      </c>
      <c r="QS113" s="22">
        <v>0</v>
      </c>
      <c r="QT113" s="22">
        <v>1</v>
      </c>
      <c r="QU113" s="22">
        <v>1</v>
      </c>
      <c r="QV113" s="22">
        <v>0</v>
      </c>
      <c r="QW113" s="22">
        <v>0</v>
      </c>
      <c r="QX113" s="22">
        <v>1</v>
      </c>
      <c r="QY113" s="22">
        <v>0</v>
      </c>
      <c r="QZ113" s="22">
        <v>1</v>
      </c>
      <c r="RA113" s="17"/>
      <c r="RB113" s="22">
        <v>1</v>
      </c>
      <c r="RC113" s="22">
        <v>1</v>
      </c>
      <c r="RD113" s="17"/>
      <c r="RE113" s="17"/>
      <c r="RF113" s="22">
        <v>0</v>
      </c>
      <c r="RG113" s="22">
        <v>0</v>
      </c>
      <c r="RH113" s="17"/>
      <c r="RI113" s="17"/>
      <c r="RJ113" s="17"/>
      <c r="RK113" s="17"/>
      <c r="RL113" s="17"/>
      <c r="RM113" s="22">
        <v>0</v>
      </c>
      <c r="RN113" s="22">
        <v>0</v>
      </c>
      <c r="RO113" s="22">
        <v>0</v>
      </c>
      <c r="RP113" s="17"/>
      <c r="RQ113" s="22">
        <v>0</v>
      </c>
      <c r="RR113" s="22">
        <v>0</v>
      </c>
      <c r="RS113" s="22">
        <v>0</v>
      </c>
      <c r="RT113" s="22">
        <v>1</v>
      </c>
      <c r="RU113" s="22">
        <v>1</v>
      </c>
      <c r="RV113" s="17"/>
      <c r="RW113" s="22">
        <v>1</v>
      </c>
      <c r="RX113" s="22">
        <v>1</v>
      </c>
      <c r="RY113" s="22">
        <v>0</v>
      </c>
      <c r="RZ113" s="22">
        <v>0</v>
      </c>
      <c r="SA113" s="22">
        <v>1</v>
      </c>
      <c r="SB113" s="22">
        <v>1</v>
      </c>
      <c r="SC113" s="22">
        <v>0</v>
      </c>
      <c r="SD113" s="22">
        <v>1</v>
      </c>
      <c r="SE113" s="22">
        <v>1</v>
      </c>
      <c r="SF113" s="17"/>
      <c r="SG113" s="22">
        <v>1</v>
      </c>
      <c r="SH113" s="22">
        <v>0</v>
      </c>
      <c r="SI113" s="22">
        <v>10115</v>
      </c>
      <c r="SJ113" s="19">
        <f t="shared" si="7"/>
        <v>141</v>
      </c>
      <c r="SK113" s="19">
        <f t="shared" si="8"/>
        <v>141</v>
      </c>
      <c r="SL113" s="19">
        <f t="shared" si="9"/>
        <v>0</v>
      </c>
      <c r="SM113" s="9">
        <v>10115</v>
      </c>
      <c r="SN113" s="9" t="s">
        <v>504</v>
      </c>
      <c r="SO113" s="10">
        <v>3</v>
      </c>
      <c r="SP113" s="9">
        <v>3</v>
      </c>
      <c r="SQ113" s="11" t="s">
        <v>515</v>
      </c>
      <c r="SR113" s="9">
        <v>16</v>
      </c>
      <c r="SS113" s="28">
        <v>60.5</v>
      </c>
      <c r="ST113" s="28">
        <v>16</v>
      </c>
      <c r="SU113" s="28">
        <v>130</v>
      </c>
      <c r="SV113" s="28">
        <v>29</v>
      </c>
      <c r="SW113" s="28">
        <v>1</v>
      </c>
      <c r="SX113" s="28">
        <v>5</v>
      </c>
      <c r="SY113" s="29">
        <v>27</v>
      </c>
      <c r="SZ113" s="30">
        <v>10</v>
      </c>
      <c r="TA113" s="31">
        <v>13</v>
      </c>
      <c r="TB113" s="31">
        <v>15</v>
      </c>
    </row>
    <row r="114" spans="1:522" ht="15.75" customHeight="1" x14ac:dyDescent="0.2">
      <c r="A114" s="22">
        <v>10116</v>
      </c>
      <c r="B114" s="22" t="s">
        <v>501</v>
      </c>
      <c r="C114" s="22" t="s">
        <v>502</v>
      </c>
      <c r="D114" s="22" t="s">
        <v>535</v>
      </c>
      <c r="E114" s="22" t="s">
        <v>504</v>
      </c>
      <c r="F114" s="23">
        <v>39346</v>
      </c>
      <c r="G114" s="23">
        <v>39893</v>
      </c>
      <c r="H114" s="14">
        <f t="shared" si="6"/>
        <v>18</v>
      </c>
      <c r="I114" s="17" t="s">
        <v>505</v>
      </c>
      <c r="J114" s="22">
        <v>1</v>
      </c>
      <c r="K114" s="22">
        <v>1</v>
      </c>
      <c r="L114" s="22">
        <v>1</v>
      </c>
      <c r="M114" s="22">
        <v>1</v>
      </c>
      <c r="N114" s="22">
        <v>1</v>
      </c>
      <c r="O114" s="22">
        <v>1</v>
      </c>
      <c r="P114" s="22">
        <v>1</v>
      </c>
      <c r="Q114" s="22">
        <v>1</v>
      </c>
      <c r="R114" s="22">
        <v>1</v>
      </c>
      <c r="S114" s="22">
        <v>1</v>
      </c>
      <c r="T114" s="22">
        <v>1</v>
      </c>
      <c r="U114" s="22">
        <v>1</v>
      </c>
      <c r="V114" s="22">
        <v>1</v>
      </c>
      <c r="W114" s="22">
        <v>1</v>
      </c>
      <c r="X114" s="22">
        <v>1</v>
      </c>
      <c r="Y114" s="22">
        <v>1</v>
      </c>
      <c r="Z114" s="22">
        <v>1</v>
      </c>
      <c r="AA114" s="22">
        <v>1</v>
      </c>
      <c r="AB114" s="22">
        <v>1</v>
      </c>
      <c r="AC114" s="22">
        <v>1</v>
      </c>
      <c r="AD114" s="22">
        <v>1</v>
      </c>
      <c r="AE114" s="22">
        <v>1</v>
      </c>
      <c r="AF114" s="22">
        <v>1</v>
      </c>
      <c r="AG114" s="22">
        <v>1</v>
      </c>
      <c r="AH114" s="22">
        <v>1</v>
      </c>
      <c r="AI114" s="17"/>
      <c r="AJ114" s="17"/>
      <c r="AK114" s="22">
        <v>1</v>
      </c>
      <c r="AL114" s="17"/>
      <c r="AM114" s="17"/>
      <c r="AN114" s="17"/>
      <c r="AO114" s="22" t="s">
        <v>507</v>
      </c>
      <c r="AP114" s="22" t="s">
        <v>507</v>
      </c>
      <c r="AQ114" s="17"/>
      <c r="AR114" s="17"/>
      <c r="AS114" s="17"/>
      <c r="AT114" s="17"/>
      <c r="AU114" s="17"/>
      <c r="AV114" s="17"/>
      <c r="AW114" s="17"/>
      <c r="AX114" s="17"/>
      <c r="AY114" s="22">
        <v>2</v>
      </c>
      <c r="AZ114" s="22">
        <v>1</v>
      </c>
      <c r="BA114" s="22">
        <v>2</v>
      </c>
      <c r="BB114" s="22">
        <v>1</v>
      </c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22">
        <v>1</v>
      </c>
      <c r="CQ114" s="17"/>
      <c r="CR114" s="17"/>
      <c r="CS114" s="17"/>
      <c r="CT114" s="17"/>
      <c r="CU114" s="22">
        <v>1</v>
      </c>
      <c r="CV114" s="22">
        <v>1</v>
      </c>
      <c r="CW114" s="17"/>
      <c r="CX114" s="17"/>
      <c r="CY114" s="22">
        <v>1</v>
      </c>
      <c r="CZ114" s="17"/>
      <c r="DA114" s="22">
        <v>1</v>
      </c>
      <c r="DB114" s="17"/>
      <c r="DC114" s="22">
        <v>1</v>
      </c>
      <c r="DD114" s="22">
        <v>2</v>
      </c>
      <c r="DE114" s="22">
        <v>2</v>
      </c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22">
        <v>1</v>
      </c>
      <c r="DQ114" s="22">
        <v>1</v>
      </c>
      <c r="DR114" s="22">
        <v>1</v>
      </c>
      <c r="DS114" s="17"/>
      <c r="DT114" s="17"/>
      <c r="DU114" s="22">
        <v>1</v>
      </c>
      <c r="DV114" s="17"/>
      <c r="DW114" s="22">
        <v>1</v>
      </c>
      <c r="DX114" s="17"/>
      <c r="DY114" s="22">
        <v>1</v>
      </c>
      <c r="DZ114" s="17"/>
      <c r="EA114" s="22">
        <v>1</v>
      </c>
      <c r="EB114" s="17"/>
      <c r="EC114" s="17"/>
      <c r="ED114" s="17"/>
      <c r="EE114" s="17"/>
      <c r="EF114" s="17"/>
      <c r="EG114" s="22">
        <v>1</v>
      </c>
      <c r="EH114" s="17"/>
      <c r="EI114" s="17"/>
      <c r="EJ114" s="17"/>
      <c r="EK114" s="17"/>
      <c r="EL114" s="17"/>
      <c r="EM114" s="17"/>
      <c r="EN114" s="17"/>
      <c r="EO114" s="22">
        <v>1</v>
      </c>
      <c r="EP114" s="22">
        <v>1</v>
      </c>
      <c r="EQ114" s="17"/>
      <c r="ER114" s="17"/>
      <c r="ES114" s="17"/>
      <c r="ET114" s="22">
        <v>1</v>
      </c>
      <c r="EU114" s="22">
        <v>1</v>
      </c>
      <c r="EV114" s="22">
        <v>1</v>
      </c>
      <c r="EW114" s="17"/>
      <c r="EX114" s="22">
        <v>1</v>
      </c>
      <c r="EY114" s="17"/>
      <c r="EZ114" s="17"/>
      <c r="FA114" s="17"/>
      <c r="FB114" s="17"/>
      <c r="FC114" s="17"/>
      <c r="FD114" s="22">
        <v>1</v>
      </c>
      <c r="FE114" s="17"/>
      <c r="FF114" s="17"/>
      <c r="FG114" s="17"/>
      <c r="FH114" s="17"/>
      <c r="FI114" s="17"/>
      <c r="FJ114" s="17"/>
      <c r="FK114" s="17"/>
      <c r="FL114" s="17"/>
      <c r="FM114" s="17"/>
      <c r="FN114" s="22">
        <v>1</v>
      </c>
      <c r="FO114" s="22">
        <v>1</v>
      </c>
      <c r="FP114" s="17"/>
      <c r="FQ114" s="17"/>
      <c r="FR114" s="17"/>
      <c r="FS114" s="17"/>
      <c r="FT114" s="17"/>
      <c r="FU114" s="22">
        <v>1</v>
      </c>
      <c r="FV114" s="17"/>
      <c r="FW114" s="17"/>
      <c r="FX114" s="17"/>
      <c r="FY114" s="22">
        <v>1</v>
      </c>
      <c r="FZ114" s="22">
        <v>1</v>
      </c>
      <c r="GA114" s="17"/>
      <c r="GB114" s="22">
        <v>1</v>
      </c>
      <c r="GC114" s="22">
        <v>1</v>
      </c>
      <c r="GD114" s="17"/>
      <c r="GE114" s="17"/>
      <c r="GF114" s="17"/>
      <c r="GG114" s="17"/>
      <c r="GH114" s="17"/>
      <c r="GI114" s="22">
        <v>1</v>
      </c>
      <c r="GJ114" s="17"/>
      <c r="GK114" s="22">
        <v>1</v>
      </c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22">
        <v>1</v>
      </c>
      <c r="GZ114" s="17"/>
      <c r="HA114" s="17"/>
      <c r="HB114" s="17"/>
      <c r="HC114" s="22">
        <v>1</v>
      </c>
      <c r="HD114" s="17"/>
      <c r="HE114" s="17"/>
      <c r="HF114" s="17"/>
      <c r="HG114" s="17"/>
      <c r="HH114" s="17"/>
      <c r="HI114" s="22">
        <v>1</v>
      </c>
      <c r="HJ114" s="17"/>
      <c r="HK114" s="17"/>
      <c r="HL114" s="22">
        <v>1</v>
      </c>
      <c r="HM114" s="17"/>
      <c r="HN114" s="17"/>
      <c r="HO114" s="17"/>
      <c r="HP114" s="22">
        <v>1</v>
      </c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22">
        <v>1</v>
      </c>
      <c r="IL114" s="17"/>
      <c r="IM114" s="17"/>
      <c r="IN114" s="17"/>
      <c r="IO114" s="17"/>
      <c r="IP114" s="17"/>
      <c r="IQ114" s="17"/>
      <c r="IR114" s="17"/>
      <c r="IS114" s="17"/>
      <c r="IT114" s="22">
        <v>1</v>
      </c>
      <c r="IU114" s="17"/>
      <c r="IV114" s="17"/>
      <c r="IW114" s="17"/>
      <c r="IX114" s="17"/>
      <c r="IY114" s="17"/>
      <c r="IZ114" s="17"/>
      <c r="JA114" s="17"/>
      <c r="JB114" s="17"/>
      <c r="JC114" s="17"/>
      <c r="JD114" s="22">
        <v>1</v>
      </c>
      <c r="JE114" s="17"/>
      <c r="JF114" s="17"/>
      <c r="JG114" s="17"/>
      <c r="JH114" s="17"/>
      <c r="JI114" s="17"/>
      <c r="JJ114" s="17"/>
      <c r="JK114" s="22">
        <v>1</v>
      </c>
      <c r="JL114" s="17"/>
      <c r="JM114" s="22">
        <v>1</v>
      </c>
      <c r="JN114" s="17"/>
      <c r="JO114" s="17"/>
      <c r="JP114" s="17"/>
      <c r="JQ114" s="22">
        <v>1</v>
      </c>
      <c r="JR114" s="22">
        <v>1</v>
      </c>
      <c r="JS114" s="17"/>
      <c r="JT114" s="17"/>
      <c r="JU114" s="17"/>
      <c r="JV114" s="17"/>
      <c r="JW114" s="22">
        <v>1</v>
      </c>
      <c r="JX114" s="22">
        <v>1</v>
      </c>
      <c r="JY114" s="22">
        <v>1</v>
      </c>
      <c r="JZ114" s="22">
        <v>2</v>
      </c>
      <c r="KA114" s="22">
        <v>1</v>
      </c>
      <c r="KB114" s="22">
        <v>1</v>
      </c>
      <c r="KC114" s="22">
        <v>1</v>
      </c>
      <c r="KD114" s="22">
        <v>2</v>
      </c>
      <c r="KE114" s="22">
        <v>1</v>
      </c>
      <c r="KF114" s="22">
        <v>1</v>
      </c>
      <c r="KG114" s="22">
        <v>2</v>
      </c>
      <c r="KH114" s="22">
        <v>1</v>
      </c>
      <c r="KI114" s="17"/>
      <c r="KJ114" s="22">
        <v>1</v>
      </c>
      <c r="KK114" s="22">
        <v>1</v>
      </c>
      <c r="KL114" s="22">
        <v>1</v>
      </c>
      <c r="KM114" s="22">
        <v>2</v>
      </c>
      <c r="KN114" s="22">
        <v>1</v>
      </c>
      <c r="KO114" s="22">
        <v>1</v>
      </c>
      <c r="KP114" s="22">
        <v>1</v>
      </c>
      <c r="KQ114" s="17"/>
      <c r="KR114" s="22">
        <v>1</v>
      </c>
      <c r="KS114" s="17"/>
      <c r="KT114" s="22">
        <v>1</v>
      </c>
      <c r="KU114" s="17"/>
      <c r="KV114" s="22">
        <v>1</v>
      </c>
      <c r="KW114" s="22">
        <v>1</v>
      </c>
      <c r="KX114" s="17"/>
      <c r="KY114" s="22">
        <v>1</v>
      </c>
      <c r="KZ114" s="17"/>
      <c r="LA114" s="22">
        <v>1</v>
      </c>
      <c r="LB114" s="17"/>
      <c r="LC114" s="22">
        <v>1</v>
      </c>
      <c r="LD114" s="17"/>
      <c r="LE114" s="17"/>
      <c r="LF114" s="22">
        <v>1</v>
      </c>
      <c r="LG114" s="22">
        <v>1</v>
      </c>
      <c r="LH114" s="22">
        <v>1</v>
      </c>
      <c r="LI114" s="22">
        <v>1</v>
      </c>
      <c r="LJ114" s="17"/>
      <c r="LK114" s="17"/>
      <c r="LL114" s="22">
        <v>1</v>
      </c>
      <c r="LM114" s="22">
        <v>1</v>
      </c>
      <c r="LN114" s="17"/>
      <c r="LO114" s="17"/>
      <c r="LP114" s="22">
        <v>1</v>
      </c>
      <c r="LQ114" s="22">
        <v>1</v>
      </c>
      <c r="LR114" s="17"/>
      <c r="LS114" s="22">
        <v>1</v>
      </c>
      <c r="LT114" s="22">
        <v>1</v>
      </c>
      <c r="LU114" s="17"/>
      <c r="LV114" s="17"/>
      <c r="LW114" s="17"/>
      <c r="LX114" s="17"/>
      <c r="LY114" s="17"/>
      <c r="LZ114" s="17"/>
      <c r="MA114" s="22">
        <v>1</v>
      </c>
      <c r="MB114" s="22">
        <v>1</v>
      </c>
      <c r="MC114" s="17"/>
      <c r="MD114" s="17"/>
      <c r="ME114" s="22">
        <v>1</v>
      </c>
      <c r="MF114" s="17"/>
      <c r="MG114" s="22">
        <v>1</v>
      </c>
      <c r="MH114" s="22">
        <v>1</v>
      </c>
      <c r="MI114" s="17"/>
      <c r="MJ114" s="17"/>
      <c r="MK114" s="17"/>
      <c r="ML114" s="17"/>
      <c r="MM114" s="22">
        <v>1</v>
      </c>
      <c r="MN114" s="17"/>
      <c r="MO114" s="17"/>
      <c r="MP114" s="22">
        <v>1</v>
      </c>
      <c r="MQ114" s="22">
        <v>1</v>
      </c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22">
        <v>2</v>
      </c>
      <c r="NC114" s="17"/>
      <c r="ND114" s="22">
        <v>2</v>
      </c>
      <c r="NE114" s="17"/>
      <c r="NF114" s="17"/>
      <c r="NG114" s="17"/>
      <c r="NH114" s="22">
        <v>1</v>
      </c>
      <c r="NI114" s="22">
        <v>1</v>
      </c>
      <c r="NJ114" s="17"/>
      <c r="NK114" s="17"/>
      <c r="NL114" s="17"/>
      <c r="NM114" s="22">
        <v>1</v>
      </c>
      <c r="NN114" s="17"/>
      <c r="NO114" s="17"/>
      <c r="NP114" s="17"/>
      <c r="NQ114" s="17"/>
      <c r="NR114" s="22">
        <v>1</v>
      </c>
      <c r="NS114" s="22">
        <v>1</v>
      </c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22">
        <v>1</v>
      </c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22">
        <v>2</v>
      </c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22">
        <v>1</v>
      </c>
      <c r="PF114" s="22">
        <v>1</v>
      </c>
      <c r="PG114" s="22">
        <v>1</v>
      </c>
      <c r="PH114" s="17"/>
      <c r="PI114" s="17"/>
      <c r="PJ114" s="17"/>
      <c r="PK114" s="22">
        <v>1</v>
      </c>
      <c r="PL114" s="22">
        <v>1</v>
      </c>
      <c r="PM114" s="22">
        <v>1</v>
      </c>
      <c r="PN114" s="22">
        <v>1</v>
      </c>
      <c r="PO114" s="17"/>
      <c r="PP114" s="22">
        <v>1</v>
      </c>
      <c r="PQ114" s="22">
        <v>1</v>
      </c>
      <c r="PR114" s="17"/>
      <c r="PS114" s="17"/>
      <c r="PT114" s="17"/>
      <c r="PU114" s="17"/>
      <c r="PV114" s="17"/>
      <c r="PW114" s="17"/>
      <c r="PX114" s="17"/>
      <c r="PY114" s="22" t="s">
        <v>507</v>
      </c>
      <c r="PZ114" s="22" t="s">
        <v>506</v>
      </c>
      <c r="QA114" s="22" t="s">
        <v>507</v>
      </c>
      <c r="QB114" s="22" t="s">
        <v>508</v>
      </c>
      <c r="QC114" s="22" t="s">
        <v>508</v>
      </c>
      <c r="QD114" s="22" t="s">
        <v>508</v>
      </c>
      <c r="QE114" s="22" t="s">
        <v>508</v>
      </c>
      <c r="QF114" s="17"/>
      <c r="QG114" s="22" t="s">
        <v>508</v>
      </c>
      <c r="QH114" s="17"/>
      <c r="QI114" s="22">
        <v>1</v>
      </c>
      <c r="QJ114" s="17"/>
      <c r="QK114" s="22">
        <v>0</v>
      </c>
      <c r="QL114" s="22">
        <v>1</v>
      </c>
      <c r="QM114" s="22">
        <v>1</v>
      </c>
      <c r="QN114" s="22">
        <v>1</v>
      </c>
      <c r="QO114" s="22">
        <v>1</v>
      </c>
      <c r="QP114" s="22">
        <v>1</v>
      </c>
      <c r="QQ114" s="22">
        <v>1</v>
      </c>
      <c r="QR114" s="22">
        <v>1</v>
      </c>
      <c r="QS114" s="22">
        <v>1</v>
      </c>
      <c r="QT114" s="22">
        <v>1</v>
      </c>
      <c r="QU114" s="22">
        <v>1</v>
      </c>
      <c r="QV114" s="17"/>
      <c r="QW114" s="22">
        <v>1</v>
      </c>
      <c r="QX114" s="22">
        <v>0</v>
      </c>
      <c r="QY114" s="22">
        <v>0</v>
      </c>
      <c r="QZ114" s="22">
        <v>1</v>
      </c>
      <c r="RA114" s="22">
        <v>0</v>
      </c>
      <c r="RB114" s="22">
        <v>1</v>
      </c>
      <c r="RC114" s="22">
        <v>1</v>
      </c>
      <c r="RD114" s="22">
        <v>1</v>
      </c>
      <c r="RE114" s="22">
        <v>1</v>
      </c>
      <c r="RF114" s="22">
        <v>0</v>
      </c>
      <c r="RG114" s="22">
        <v>0</v>
      </c>
      <c r="RH114" s="22">
        <v>0</v>
      </c>
      <c r="RI114" s="22">
        <v>0</v>
      </c>
      <c r="RJ114" s="22">
        <v>0</v>
      </c>
      <c r="RK114" s="22">
        <v>0</v>
      </c>
      <c r="RL114" s="22">
        <v>0</v>
      </c>
      <c r="RM114" s="22">
        <v>0</v>
      </c>
      <c r="RN114" s="22">
        <v>0</v>
      </c>
      <c r="RO114" s="22">
        <v>0</v>
      </c>
      <c r="RP114" s="22">
        <v>0</v>
      </c>
      <c r="RQ114" s="22">
        <v>0</v>
      </c>
      <c r="RR114" s="22">
        <v>0</v>
      </c>
      <c r="RS114" s="22">
        <v>1</v>
      </c>
      <c r="RT114" s="22">
        <v>1</v>
      </c>
      <c r="RU114" s="22">
        <v>1</v>
      </c>
      <c r="RV114" s="17"/>
      <c r="RW114" s="22">
        <v>1</v>
      </c>
      <c r="RX114" s="22">
        <v>1</v>
      </c>
      <c r="RY114" s="22">
        <v>1</v>
      </c>
      <c r="RZ114" s="22">
        <v>1</v>
      </c>
      <c r="SA114" s="22">
        <v>1</v>
      </c>
      <c r="SB114" s="17"/>
      <c r="SC114" s="17"/>
      <c r="SD114" s="22">
        <v>1</v>
      </c>
      <c r="SE114" s="22">
        <v>1</v>
      </c>
      <c r="SF114" s="22">
        <v>1</v>
      </c>
      <c r="SG114" s="22">
        <v>1</v>
      </c>
      <c r="SH114" s="17"/>
      <c r="SI114" s="22">
        <v>10116</v>
      </c>
      <c r="SJ114" s="19">
        <f t="shared" si="7"/>
        <v>99</v>
      </c>
      <c r="SK114" s="19">
        <f t="shared" si="8"/>
        <v>110</v>
      </c>
      <c r="SL114" s="19">
        <f t="shared" si="9"/>
        <v>11</v>
      </c>
      <c r="SM114" s="9">
        <v>10116</v>
      </c>
      <c r="SN114" s="9" t="s">
        <v>504</v>
      </c>
      <c r="SO114" s="10">
        <v>1</v>
      </c>
      <c r="SP114" s="9">
        <v>1</v>
      </c>
      <c r="SQ114" s="11" t="s">
        <v>517</v>
      </c>
      <c r="SR114" s="9">
        <v>13</v>
      </c>
      <c r="SS114" s="28">
        <v>32.5</v>
      </c>
      <c r="ST114" s="28">
        <v>16</v>
      </c>
      <c r="SU114" s="28">
        <v>51</v>
      </c>
      <c r="SV114" s="28">
        <v>6</v>
      </c>
      <c r="SW114" s="28">
        <v>8</v>
      </c>
      <c r="SX114" s="28">
        <v>19</v>
      </c>
      <c r="SY114" s="29">
        <v>28</v>
      </c>
      <c r="SZ114" s="30">
        <v>12</v>
      </c>
      <c r="TA114" s="31">
        <v>16</v>
      </c>
      <c r="TB114" s="31">
        <v>25</v>
      </c>
    </row>
    <row r="115" spans="1:522" ht="15.75" customHeight="1" x14ac:dyDescent="0.2">
      <c r="A115" s="22">
        <v>10117</v>
      </c>
      <c r="B115" s="22" t="s">
        <v>501</v>
      </c>
      <c r="C115" s="22" t="s">
        <v>502</v>
      </c>
      <c r="D115" s="22" t="s">
        <v>535</v>
      </c>
      <c r="E115" s="22" t="s">
        <v>504</v>
      </c>
      <c r="F115" s="23">
        <v>39432</v>
      </c>
      <c r="G115" s="23">
        <v>39978</v>
      </c>
      <c r="H115" s="14">
        <f t="shared" si="6"/>
        <v>17</v>
      </c>
      <c r="I115" s="22" t="s">
        <v>536</v>
      </c>
      <c r="J115" s="17"/>
      <c r="K115" s="17"/>
      <c r="L115" s="17"/>
      <c r="M115" s="22">
        <v>1</v>
      </c>
      <c r="N115" s="17"/>
      <c r="O115" s="22">
        <v>1</v>
      </c>
      <c r="P115" s="22">
        <v>1</v>
      </c>
      <c r="Q115" s="22">
        <v>1</v>
      </c>
      <c r="R115" s="22">
        <v>1</v>
      </c>
      <c r="S115" s="22">
        <v>1</v>
      </c>
      <c r="T115" s="17"/>
      <c r="U115" s="22">
        <v>1</v>
      </c>
      <c r="V115" s="17"/>
      <c r="W115" s="17"/>
      <c r="X115" s="22">
        <v>1</v>
      </c>
      <c r="Y115" s="22">
        <v>1</v>
      </c>
      <c r="Z115" s="17"/>
      <c r="AA115" s="22">
        <v>1</v>
      </c>
      <c r="AB115" s="22">
        <v>1</v>
      </c>
      <c r="AC115" s="17"/>
      <c r="AD115" s="17"/>
      <c r="AE115" s="17"/>
      <c r="AF115" s="22">
        <v>1</v>
      </c>
      <c r="AG115" s="17"/>
      <c r="AH115" s="22">
        <v>1</v>
      </c>
      <c r="AI115" s="17"/>
      <c r="AJ115" s="22">
        <v>1</v>
      </c>
      <c r="AK115" s="17"/>
      <c r="AL115" s="17"/>
      <c r="AM115" s="17"/>
      <c r="AN115" s="17"/>
      <c r="AO115" s="22" t="s">
        <v>508</v>
      </c>
      <c r="AP115" s="22" t="s">
        <v>508</v>
      </c>
      <c r="AQ115" s="17"/>
      <c r="AR115" s="17"/>
      <c r="AS115" s="17"/>
      <c r="AT115" s="17"/>
      <c r="AU115" s="17"/>
      <c r="AV115" s="17"/>
      <c r="AW115" s="22">
        <v>1</v>
      </c>
      <c r="AX115" s="17"/>
      <c r="AY115" s="22">
        <v>1</v>
      </c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22">
        <v>2</v>
      </c>
      <c r="BK115" s="17"/>
      <c r="BL115" s="17"/>
      <c r="BM115" s="17"/>
      <c r="BN115" s="22">
        <v>2</v>
      </c>
      <c r="BO115" s="17"/>
      <c r="BP115" s="22">
        <v>1</v>
      </c>
      <c r="BQ115" s="17"/>
      <c r="BR115" s="22">
        <v>1</v>
      </c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22">
        <v>2</v>
      </c>
      <c r="CJ115" s="17"/>
      <c r="CK115" s="17"/>
      <c r="CL115" s="17"/>
      <c r="CM115" s="22">
        <v>1</v>
      </c>
      <c r="CN115" s="17"/>
      <c r="CO115" s="17"/>
      <c r="CP115" s="22">
        <v>1</v>
      </c>
      <c r="CQ115" s="17"/>
      <c r="CR115" s="17"/>
      <c r="CS115" s="22">
        <v>1</v>
      </c>
      <c r="CT115" s="17"/>
      <c r="CU115" s="22">
        <v>1</v>
      </c>
      <c r="CV115" s="22">
        <v>1</v>
      </c>
      <c r="CW115" s="17"/>
      <c r="CX115" s="17"/>
      <c r="CY115" s="22">
        <v>1</v>
      </c>
      <c r="CZ115" s="17"/>
      <c r="DA115" s="22">
        <v>1</v>
      </c>
      <c r="DB115" s="22">
        <v>1</v>
      </c>
      <c r="DC115" s="17"/>
      <c r="DD115" s="22">
        <v>1</v>
      </c>
      <c r="DE115" s="22">
        <v>1</v>
      </c>
      <c r="DF115" s="17"/>
      <c r="DG115" s="17"/>
      <c r="DH115" s="17"/>
      <c r="DI115" s="17"/>
      <c r="DJ115" s="22">
        <v>1</v>
      </c>
      <c r="DK115" s="22">
        <v>1</v>
      </c>
      <c r="DL115" s="22">
        <v>1</v>
      </c>
      <c r="DM115" s="22">
        <v>1</v>
      </c>
      <c r="DN115" s="17"/>
      <c r="DO115" s="17"/>
      <c r="DP115" s="17"/>
      <c r="DQ115" s="22">
        <v>1</v>
      </c>
      <c r="DR115" s="17"/>
      <c r="DS115" s="17"/>
      <c r="DT115" s="17"/>
      <c r="DU115" s="22">
        <v>1</v>
      </c>
      <c r="DV115" s="17"/>
      <c r="DW115" s="17"/>
      <c r="DX115" s="17"/>
      <c r="DY115" s="22">
        <v>1</v>
      </c>
      <c r="DZ115" s="22">
        <v>1</v>
      </c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22">
        <v>1</v>
      </c>
      <c r="EU115" s="22">
        <v>1</v>
      </c>
      <c r="EV115" s="22">
        <v>1</v>
      </c>
      <c r="EW115" s="17"/>
      <c r="EX115" s="22">
        <v>1</v>
      </c>
      <c r="EY115" s="17"/>
      <c r="EZ115" s="17"/>
      <c r="FA115" s="22">
        <v>1</v>
      </c>
      <c r="FB115" s="22">
        <v>1</v>
      </c>
      <c r="FC115" s="17"/>
      <c r="FD115" s="22">
        <v>1</v>
      </c>
      <c r="FE115" s="22">
        <v>1</v>
      </c>
      <c r="FF115" s="22">
        <v>1</v>
      </c>
      <c r="FG115" s="22">
        <v>1</v>
      </c>
      <c r="FH115" s="22">
        <v>1</v>
      </c>
      <c r="FI115" s="22">
        <v>1</v>
      </c>
      <c r="FJ115" s="22">
        <v>1</v>
      </c>
      <c r="FK115" s="22">
        <v>1</v>
      </c>
      <c r="FL115" s="17"/>
      <c r="FM115" s="22">
        <v>1</v>
      </c>
      <c r="FN115" s="22">
        <v>1</v>
      </c>
      <c r="FO115" s="22">
        <v>1</v>
      </c>
      <c r="FP115" s="17"/>
      <c r="FQ115" s="17"/>
      <c r="FR115" s="22">
        <v>1</v>
      </c>
      <c r="FS115" s="22">
        <v>1</v>
      </c>
      <c r="FT115" s="22">
        <v>1</v>
      </c>
      <c r="FU115" s="17"/>
      <c r="FV115" s="22">
        <v>1</v>
      </c>
      <c r="FW115" s="22">
        <v>1</v>
      </c>
      <c r="FX115" s="17"/>
      <c r="FY115" s="22">
        <v>1</v>
      </c>
      <c r="FZ115" s="22">
        <v>1</v>
      </c>
      <c r="GA115" s="22">
        <v>1</v>
      </c>
      <c r="GB115" s="22">
        <v>1</v>
      </c>
      <c r="GC115" s="22">
        <v>1</v>
      </c>
      <c r="GD115" s="17"/>
      <c r="GE115" s="22">
        <v>1</v>
      </c>
      <c r="GF115" s="17"/>
      <c r="GG115" s="17"/>
      <c r="GH115" s="17"/>
      <c r="GI115" s="17"/>
      <c r="GJ115" s="22">
        <v>1</v>
      </c>
      <c r="GK115" s="22">
        <v>1</v>
      </c>
      <c r="GL115" s="17"/>
      <c r="GM115" s="17"/>
      <c r="GN115" s="22">
        <v>1</v>
      </c>
      <c r="GO115" s="17"/>
      <c r="GP115" s="17"/>
      <c r="GQ115" s="17"/>
      <c r="GR115" s="17"/>
      <c r="GS115" s="22">
        <v>1</v>
      </c>
      <c r="GT115" s="17"/>
      <c r="GU115" s="17"/>
      <c r="GV115" s="17"/>
      <c r="GW115" s="17"/>
      <c r="GX115" s="22">
        <v>1</v>
      </c>
      <c r="GY115" s="22">
        <v>1</v>
      </c>
      <c r="GZ115" s="22">
        <v>1</v>
      </c>
      <c r="HA115" s="22">
        <v>1</v>
      </c>
      <c r="HB115" s="22">
        <v>1</v>
      </c>
      <c r="HC115" s="17"/>
      <c r="HD115" s="22">
        <v>1</v>
      </c>
      <c r="HE115" s="17"/>
      <c r="HF115" s="22">
        <v>1</v>
      </c>
      <c r="HG115" s="22">
        <v>1</v>
      </c>
      <c r="HH115" s="17"/>
      <c r="HI115" s="22">
        <v>1</v>
      </c>
      <c r="HJ115" s="17"/>
      <c r="HK115" s="22">
        <v>1</v>
      </c>
      <c r="HL115" s="22">
        <v>1</v>
      </c>
      <c r="HM115" s="22">
        <v>1</v>
      </c>
      <c r="HN115" s="17"/>
      <c r="HO115" s="22">
        <v>1</v>
      </c>
      <c r="HP115" s="17"/>
      <c r="HQ115" s="17"/>
      <c r="HR115" s="17"/>
      <c r="HS115" s="17"/>
      <c r="HT115" s="17"/>
      <c r="HU115" s="22">
        <v>1</v>
      </c>
      <c r="HV115" s="17"/>
      <c r="HW115" s="17"/>
      <c r="HX115" s="22">
        <v>1</v>
      </c>
      <c r="HY115" s="17"/>
      <c r="HZ115" s="22">
        <v>1</v>
      </c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22">
        <v>1</v>
      </c>
      <c r="IM115" s="17"/>
      <c r="IN115" s="17"/>
      <c r="IO115" s="17"/>
      <c r="IP115" s="17"/>
      <c r="IQ115" s="22">
        <v>1</v>
      </c>
      <c r="IR115" s="17"/>
      <c r="IS115" s="17"/>
      <c r="IT115" s="22">
        <v>1</v>
      </c>
      <c r="IU115" s="17"/>
      <c r="IV115" s="17"/>
      <c r="IW115" s="17"/>
      <c r="IX115" s="17"/>
      <c r="IY115" s="17"/>
      <c r="IZ115" s="17"/>
      <c r="JA115" s="22">
        <v>1</v>
      </c>
      <c r="JB115" s="17"/>
      <c r="JC115" s="17"/>
      <c r="JD115" s="17"/>
      <c r="JE115" s="22">
        <v>1</v>
      </c>
      <c r="JF115" s="17"/>
      <c r="JG115" s="17"/>
      <c r="JH115" s="17"/>
      <c r="JI115" s="17"/>
      <c r="JJ115" s="17"/>
      <c r="JK115" s="17"/>
      <c r="JL115" s="17"/>
      <c r="JM115" s="22">
        <v>1</v>
      </c>
      <c r="JN115" s="22">
        <v>1</v>
      </c>
      <c r="JO115" s="17"/>
      <c r="JP115" s="17"/>
      <c r="JQ115" s="17"/>
      <c r="JR115" s="22">
        <v>1</v>
      </c>
      <c r="JS115" s="17"/>
      <c r="JT115" s="17"/>
      <c r="JU115" s="17"/>
      <c r="JV115" s="17"/>
      <c r="JW115" s="17"/>
      <c r="JX115" s="22">
        <v>1</v>
      </c>
      <c r="JY115" s="22">
        <v>1</v>
      </c>
      <c r="JZ115" s="22">
        <v>1</v>
      </c>
      <c r="KA115" s="22">
        <v>1</v>
      </c>
      <c r="KB115" s="17"/>
      <c r="KC115" s="22">
        <v>1</v>
      </c>
      <c r="KD115" s="22">
        <v>1</v>
      </c>
      <c r="KE115" s="17"/>
      <c r="KF115" s="22">
        <v>1</v>
      </c>
      <c r="KG115" s="17"/>
      <c r="KH115" s="22">
        <v>1</v>
      </c>
      <c r="KI115" s="17"/>
      <c r="KJ115" s="22">
        <v>1</v>
      </c>
      <c r="KK115" s="17"/>
      <c r="KL115" s="22">
        <v>1</v>
      </c>
      <c r="KM115" s="17"/>
      <c r="KN115" s="22">
        <v>1</v>
      </c>
      <c r="KO115" s="22">
        <v>1</v>
      </c>
      <c r="KP115" s="22">
        <v>1</v>
      </c>
      <c r="KQ115" s="17"/>
      <c r="KR115" s="22">
        <v>1</v>
      </c>
      <c r="KS115" s="17"/>
      <c r="KT115" s="17"/>
      <c r="KU115" s="17"/>
      <c r="KV115" s="17"/>
      <c r="KW115" s="17"/>
      <c r="KX115" s="17"/>
      <c r="KY115" s="17"/>
      <c r="KZ115" s="17"/>
      <c r="LA115" s="22">
        <v>1</v>
      </c>
      <c r="LB115" s="22">
        <v>1</v>
      </c>
      <c r="LC115" s="22">
        <v>1</v>
      </c>
      <c r="LD115" s="17"/>
      <c r="LE115" s="17"/>
      <c r="LF115" s="17"/>
      <c r="LG115" s="22">
        <v>1</v>
      </c>
      <c r="LH115" s="22">
        <v>1</v>
      </c>
      <c r="LI115" s="22">
        <v>1</v>
      </c>
      <c r="LJ115" s="22">
        <v>1</v>
      </c>
      <c r="LK115" s="17"/>
      <c r="LL115" s="22">
        <v>1</v>
      </c>
      <c r="LM115" s="17"/>
      <c r="LN115" s="17"/>
      <c r="LO115" s="22">
        <v>1</v>
      </c>
      <c r="LP115" s="22">
        <v>1</v>
      </c>
      <c r="LQ115" s="17"/>
      <c r="LR115" s="17"/>
      <c r="LS115" s="17"/>
      <c r="LT115" s="17"/>
      <c r="LU115" s="17"/>
      <c r="LV115" s="17"/>
      <c r="LW115" s="22">
        <v>1</v>
      </c>
      <c r="LX115" s="22">
        <v>1</v>
      </c>
      <c r="LY115" s="17"/>
      <c r="LZ115" s="17"/>
      <c r="MA115" s="17"/>
      <c r="MB115" s="17"/>
      <c r="MC115" s="17"/>
      <c r="MD115" s="17"/>
      <c r="ME115" s="22">
        <v>1</v>
      </c>
      <c r="MF115" s="17"/>
      <c r="MG115" s="17"/>
      <c r="MH115" s="17"/>
      <c r="MI115" s="17"/>
      <c r="MJ115" s="17"/>
      <c r="MK115" s="17"/>
      <c r="ML115" s="17"/>
      <c r="MM115" s="22">
        <v>1</v>
      </c>
      <c r="MN115" s="22">
        <v>1</v>
      </c>
      <c r="MO115" s="22">
        <v>1</v>
      </c>
      <c r="MP115" s="22">
        <v>1</v>
      </c>
      <c r="MQ115" s="22">
        <v>1</v>
      </c>
      <c r="MR115" s="22">
        <v>1</v>
      </c>
      <c r="MS115" s="17"/>
      <c r="MT115" s="17"/>
      <c r="MU115" s="22">
        <v>1</v>
      </c>
      <c r="MV115" s="17"/>
      <c r="MW115" s="17"/>
      <c r="MX115" s="22">
        <v>1</v>
      </c>
      <c r="MY115" s="17"/>
      <c r="MZ115" s="17"/>
      <c r="NA115" s="17"/>
      <c r="NB115" s="17"/>
      <c r="NC115" s="17"/>
      <c r="ND115" s="17"/>
      <c r="NE115" s="17"/>
      <c r="NF115" s="17"/>
      <c r="NG115" s="17"/>
      <c r="NH115" s="22">
        <v>1</v>
      </c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22">
        <v>1</v>
      </c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22">
        <v>1</v>
      </c>
      <c r="OP115" s="17"/>
      <c r="OQ115" s="17"/>
      <c r="OR115" s="22">
        <v>1</v>
      </c>
      <c r="OS115" s="17"/>
      <c r="OT115" s="22">
        <v>1</v>
      </c>
      <c r="OU115" s="22">
        <v>1</v>
      </c>
      <c r="OV115" s="22">
        <v>1</v>
      </c>
      <c r="OW115" s="22">
        <v>1</v>
      </c>
      <c r="OX115" s="17"/>
      <c r="OY115" s="17"/>
      <c r="OZ115" s="17"/>
      <c r="PA115" s="17"/>
      <c r="PB115" s="17"/>
      <c r="PC115" s="17"/>
      <c r="PD115" s="17"/>
      <c r="PE115" s="17"/>
      <c r="PF115" s="22">
        <v>1</v>
      </c>
      <c r="PG115" s="17"/>
      <c r="PH115" s="17"/>
      <c r="PI115" s="22">
        <v>1</v>
      </c>
      <c r="PJ115" s="22">
        <v>1</v>
      </c>
      <c r="PK115" s="17"/>
      <c r="PL115" s="22">
        <v>1</v>
      </c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22" t="s">
        <v>506</v>
      </c>
      <c r="PX115" s="22" t="s">
        <v>506</v>
      </c>
      <c r="PY115" s="22" t="s">
        <v>506</v>
      </c>
      <c r="PZ115" s="22" t="s">
        <v>506</v>
      </c>
      <c r="QA115" s="22" t="s">
        <v>506</v>
      </c>
      <c r="QB115" s="22" t="s">
        <v>506</v>
      </c>
      <c r="QC115" s="22" t="s">
        <v>506</v>
      </c>
      <c r="QD115" s="22" t="s">
        <v>507</v>
      </c>
      <c r="QE115" s="22" t="s">
        <v>507</v>
      </c>
      <c r="QF115" s="22" t="s">
        <v>508</v>
      </c>
      <c r="QG115" s="22" t="s">
        <v>508</v>
      </c>
      <c r="QH115" s="22" t="s">
        <v>507</v>
      </c>
      <c r="QI115" s="22">
        <v>1</v>
      </c>
      <c r="QJ115" s="22">
        <v>0</v>
      </c>
      <c r="QK115" s="22">
        <v>0</v>
      </c>
      <c r="QL115" s="22">
        <v>1</v>
      </c>
      <c r="QM115" s="22">
        <v>1</v>
      </c>
      <c r="QN115" s="22">
        <v>1</v>
      </c>
      <c r="QO115" s="22">
        <v>1</v>
      </c>
      <c r="QP115" s="22">
        <v>1</v>
      </c>
      <c r="QQ115" s="22">
        <v>1</v>
      </c>
      <c r="QR115" s="22">
        <v>1</v>
      </c>
      <c r="QS115" s="22">
        <v>1</v>
      </c>
      <c r="QT115" s="22">
        <v>0</v>
      </c>
      <c r="QU115" s="22">
        <v>1</v>
      </c>
      <c r="QV115" s="22">
        <v>1</v>
      </c>
      <c r="QW115" s="22">
        <v>1</v>
      </c>
      <c r="QX115" s="22">
        <v>1</v>
      </c>
      <c r="QY115" s="22">
        <v>1</v>
      </c>
      <c r="QZ115" s="22">
        <v>1</v>
      </c>
      <c r="RA115" s="22">
        <v>1</v>
      </c>
      <c r="RB115" s="22">
        <v>1</v>
      </c>
      <c r="RC115" s="22">
        <v>1</v>
      </c>
      <c r="RD115" s="22">
        <v>1</v>
      </c>
      <c r="RE115" s="22">
        <v>1</v>
      </c>
      <c r="RF115" s="22">
        <v>0</v>
      </c>
      <c r="RG115" s="22">
        <v>0</v>
      </c>
      <c r="RH115" s="22">
        <v>1</v>
      </c>
      <c r="RI115" s="22">
        <v>1</v>
      </c>
      <c r="RJ115" s="22">
        <v>1</v>
      </c>
      <c r="RK115" s="22">
        <v>1</v>
      </c>
      <c r="RL115" s="22">
        <v>1</v>
      </c>
      <c r="RM115" s="22">
        <v>1</v>
      </c>
      <c r="RN115" s="22">
        <v>1</v>
      </c>
      <c r="RO115" s="22">
        <v>0</v>
      </c>
      <c r="RP115" s="22">
        <v>0</v>
      </c>
      <c r="RQ115" s="22">
        <v>0</v>
      </c>
      <c r="RR115" s="22">
        <v>0</v>
      </c>
      <c r="RS115" s="22">
        <v>1</v>
      </c>
      <c r="RT115" s="22">
        <v>1</v>
      </c>
      <c r="RU115" s="22">
        <v>0</v>
      </c>
      <c r="RV115" s="22">
        <v>0</v>
      </c>
      <c r="RW115" s="22">
        <v>1</v>
      </c>
      <c r="RX115" s="22">
        <v>1</v>
      </c>
      <c r="RY115" s="22">
        <v>1</v>
      </c>
      <c r="RZ115" s="22">
        <v>0</v>
      </c>
      <c r="SA115" s="22">
        <v>1</v>
      </c>
      <c r="SB115" s="22">
        <v>1</v>
      </c>
      <c r="SC115" s="22">
        <v>0</v>
      </c>
      <c r="SD115" s="22">
        <v>1</v>
      </c>
      <c r="SE115" s="22">
        <v>1</v>
      </c>
      <c r="SF115" s="22">
        <v>1</v>
      </c>
      <c r="SG115" s="22">
        <v>1</v>
      </c>
      <c r="SH115" s="22">
        <v>1</v>
      </c>
      <c r="SI115" s="22">
        <v>10117</v>
      </c>
      <c r="SJ115" s="19">
        <f t="shared" si="7"/>
        <v>125</v>
      </c>
      <c r="SK115" s="19">
        <f t="shared" si="8"/>
        <v>128</v>
      </c>
      <c r="SL115" s="19">
        <f t="shared" si="9"/>
        <v>3</v>
      </c>
      <c r="SM115" s="9">
        <v>10117</v>
      </c>
      <c r="SN115" s="9" t="s">
        <v>504</v>
      </c>
      <c r="SO115" s="10">
        <v>1</v>
      </c>
      <c r="SP115" s="9">
        <v>1</v>
      </c>
      <c r="SQ115" s="11" t="s">
        <v>550</v>
      </c>
      <c r="SR115" s="9">
        <v>16</v>
      </c>
      <c r="SS115" s="28">
        <v>66</v>
      </c>
      <c r="ST115" s="28">
        <v>17</v>
      </c>
      <c r="SU115" s="28">
        <v>119</v>
      </c>
      <c r="SV115" s="28">
        <v>15</v>
      </c>
      <c r="SW115" s="28">
        <v>5</v>
      </c>
      <c r="SX115" s="28">
        <v>10</v>
      </c>
      <c r="SY115" s="29">
        <v>39</v>
      </c>
      <c r="SZ115" s="30">
        <v>28</v>
      </c>
      <c r="TA115" s="31">
        <v>20</v>
      </c>
      <c r="TB115" s="31">
        <v>30</v>
      </c>
    </row>
    <row r="116" spans="1:522" ht="15.75" customHeight="1" x14ac:dyDescent="0.2">
      <c r="A116" s="22">
        <v>10118</v>
      </c>
      <c r="B116" s="22" t="s">
        <v>501</v>
      </c>
      <c r="C116" s="22" t="s">
        <v>502</v>
      </c>
      <c r="D116" s="22" t="s">
        <v>535</v>
      </c>
      <c r="E116" s="22" t="s">
        <v>504</v>
      </c>
      <c r="F116" s="23">
        <v>39428</v>
      </c>
      <c r="G116" s="23">
        <v>39981</v>
      </c>
      <c r="H116" s="14">
        <f t="shared" si="6"/>
        <v>18</v>
      </c>
      <c r="I116" s="22" t="s">
        <v>536</v>
      </c>
      <c r="J116" s="22">
        <v>1</v>
      </c>
      <c r="K116" s="22">
        <v>1</v>
      </c>
      <c r="L116" s="22">
        <v>1</v>
      </c>
      <c r="M116" s="22">
        <v>1</v>
      </c>
      <c r="N116" s="22">
        <v>1</v>
      </c>
      <c r="O116" s="17"/>
      <c r="P116" s="17"/>
      <c r="Q116" s="22">
        <v>1</v>
      </c>
      <c r="R116" s="22">
        <v>1</v>
      </c>
      <c r="S116" s="22">
        <v>1</v>
      </c>
      <c r="T116" s="22">
        <v>1</v>
      </c>
      <c r="U116" s="22">
        <v>1</v>
      </c>
      <c r="V116" s="22">
        <v>1</v>
      </c>
      <c r="W116" s="17"/>
      <c r="X116" s="17"/>
      <c r="Y116" s="22">
        <v>1</v>
      </c>
      <c r="Z116" s="22">
        <v>1</v>
      </c>
      <c r="AA116" s="22">
        <v>1</v>
      </c>
      <c r="AB116" s="17"/>
      <c r="AC116" s="22">
        <v>1</v>
      </c>
      <c r="AD116" s="17"/>
      <c r="AE116" s="22">
        <v>1</v>
      </c>
      <c r="AF116" s="17"/>
      <c r="AG116" s="17"/>
      <c r="AH116" s="22">
        <v>1</v>
      </c>
      <c r="AI116" s="17"/>
      <c r="AJ116" s="22">
        <v>1</v>
      </c>
      <c r="AK116" s="22">
        <v>1</v>
      </c>
      <c r="AL116" s="17"/>
      <c r="AM116" s="22">
        <v>1</v>
      </c>
      <c r="AN116" s="17"/>
      <c r="AO116" s="22" t="s">
        <v>507</v>
      </c>
      <c r="AP116" s="22" t="s">
        <v>508</v>
      </c>
      <c r="AQ116" s="22">
        <v>1</v>
      </c>
      <c r="AR116" s="17"/>
      <c r="AS116" s="22">
        <v>1</v>
      </c>
      <c r="AT116" s="22">
        <v>1</v>
      </c>
      <c r="AU116" s="22">
        <v>1</v>
      </c>
      <c r="AV116" s="22">
        <v>2</v>
      </c>
      <c r="AW116" s="17"/>
      <c r="AX116" s="22">
        <v>1</v>
      </c>
      <c r="AY116" s="17"/>
      <c r="AZ116" s="17"/>
      <c r="BA116" s="22">
        <v>1</v>
      </c>
      <c r="BB116" s="17"/>
      <c r="BC116" s="17"/>
      <c r="BD116" s="17"/>
      <c r="BE116" s="17"/>
      <c r="BF116" s="22">
        <v>1</v>
      </c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22">
        <v>1</v>
      </c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22">
        <v>1</v>
      </c>
      <c r="CQ116" s="17"/>
      <c r="CR116" s="17"/>
      <c r="CS116" s="22">
        <v>1</v>
      </c>
      <c r="CT116" s="17"/>
      <c r="CU116" s="17"/>
      <c r="CV116" s="17"/>
      <c r="CW116" s="17"/>
      <c r="CX116" s="17"/>
      <c r="CY116" s="22">
        <v>1</v>
      </c>
      <c r="CZ116" s="17"/>
      <c r="DA116" s="17"/>
      <c r="DB116" s="22">
        <v>1</v>
      </c>
      <c r="DC116" s="17"/>
      <c r="DD116" s="22">
        <v>1</v>
      </c>
      <c r="DE116" s="22">
        <v>1</v>
      </c>
      <c r="DF116" s="17"/>
      <c r="DG116" s="17"/>
      <c r="DH116" s="17"/>
      <c r="DI116" s="17"/>
      <c r="DJ116" s="17"/>
      <c r="DK116" s="22">
        <v>1</v>
      </c>
      <c r="DL116" s="17"/>
      <c r="DM116" s="17"/>
      <c r="DN116" s="17"/>
      <c r="DO116" s="17"/>
      <c r="DP116" s="17"/>
      <c r="DQ116" s="17"/>
      <c r="DR116" s="22">
        <v>1</v>
      </c>
      <c r="DS116" s="17"/>
      <c r="DT116" s="17"/>
      <c r="DU116" s="22">
        <v>1</v>
      </c>
      <c r="DV116" s="17"/>
      <c r="DW116" s="17"/>
      <c r="DX116" s="17"/>
      <c r="DY116" s="22">
        <v>1</v>
      </c>
      <c r="DZ116" s="17"/>
      <c r="EA116" s="17"/>
      <c r="EB116" s="17"/>
      <c r="EC116" s="22">
        <v>1</v>
      </c>
      <c r="ED116" s="22">
        <v>1</v>
      </c>
      <c r="EE116" s="17"/>
      <c r="EF116" s="17"/>
      <c r="EG116" s="22">
        <v>1</v>
      </c>
      <c r="EH116" s="17"/>
      <c r="EI116" s="17"/>
      <c r="EJ116" s="17"/>
      <c r="EK116" s="17"/>
      <c r="EL116" s="17"/>
      <c r="EM116" s="22">
        <v>1</v>
      </c>
      <c r="EN116" s="17"/>
      <c r="EO116" s="17"/>
      <c r="EP116" s="17"/>
      <c r="EQ116" s="17"/>
      <c r="ER116" s="17"/>
      <c r="ES116" s="17"/>
      <c r="ET116" s="17"/>
      <c r="EU116" s="17"/>
      <c r="EV116" s="22">
        <v>1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22">
        <v>1</v>
      </c>
      <c r="GJ116" s="17"/>
      <c r="GK116" s="17"/>
      <c r="GL116" s="17"/>
      <c r="GM116" s="17"/>
      <c r="GN116" s="22">
        <v>1</v>
      </c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22">
        <v>1</v>
      </c>
      <c r="GZ116" s="22">
        <v>1</v>
      </c>
      <c r="HA116" s="17"/>
      <c r="HB116" s="17"/>
      <c r="HC116" s="22">
        <v>1</v>
      </c>
      <c r="HD116" s="17"/>
      <c r="HE116" s="22">
        <v>1</v>
      </c>
      <c r="HF116" s="17"/>
      <c r="HG116" s="17"/>
      <c r="HH116" s="17"/>
      <c r="HI116" s="22">
        <v>1</v>
      </c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22">
        <v>1</v>
      </c>
      <c r="IB116" s="17"/>
      <c r="IC116" s="17"/>
      <c r="ID116" s="17"/>
      <c r="IE116" s="22">
        <v>1</v>
      </c>
      <c r="IF116" s="17"/>
      <c r="IG116" s="17"/>
      <c r="IH116" s="22">
        <v>1</v>
      </c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22">
        <v>2</v>
      </c>
      <c r="JL116" s="17"/>
      <c r="JM116" s="17"/>
      <c r="JN116" s="17"/>
      <c r="JO116" s="17"/>
      <c r="JP116" s="17"/>
      <c r="JQ116" s="22">
        <v>2</v>
      </c>
      <c r="JR116" s="22">
        <v>1</v>
      </c>
      <c r="JS116" s="17"/>
      <c r="JT116" s="17"/>
      <c r="JU116" s="17"/>
      <c r="JV116" s="17"/>
      <c r="JW116" s="17"/>
      <c r="JX116" s="22">
        <v>1</v>
      </c>
      <c r="JY116" s="17"/>
      <c r="JZ116" s="22">
        <v>1</v>
      </c>
      <c r="KA116" s="17"/>
      <c r="KB116" s="22">
        <v>1</v>
      </c>
      <c r="KC116" s="17"/>
      <c r="KD116" s="22">
        <v>2</v>
      </c>
      <c r="KE116" s="17"/>
      <c r="KF116" s="17"/>
      <c r="KG116" s="17"/>
      <c r="KH116" s="22">
        <v>1</v>
      </c>
      <c r="KI116" s="22">
        <v>1</v>
      </c>
      <c r="KJ116" s="22">
        <v>1</v>
      </c>
      <c r="KK116" s="22">
        <v>1</v>
      </c>
      <c r="KL116" s="17"/>
      <c r="KM116" s="22">
        <v>1</v>
      </c>
      <c r="KN116" s="17"/>
      <c r="KO116" s="17"/>
      <c r="KP116" s="22">
        <v>2</v>
      </c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22">
        <v>1</v>
      </c>
      <c r="LD116" s="17"/>
      <c r="LE116" s="17"/>
      <c r="LF116" s="17"/>
      <c r="LG116" s="17"/>
      <c r="LH116" s="17"/>
      <c r="LI116" s="17"/>
      <c r="LJ116" s="17"/>
      <c r="LK116" s="17"/>
      <c r="LL116" s="22">
        <v>1</v>
      </c>
      <c r="LM116" s="17"/>
      <c r="LN116" s="17"/>
      <c r="LO116" s="17"/>
      <c r="LP116" s="22">
        <v>1</v>
      </c>
      <c r="LQ116" s="17"/>
      <c r="LR116" s="17"/>
      <c r="LS116" s="17"/>
      <c r="LT116" s="17"/>
      <c r="LU116" s="17"/>
      <c r="LV116" s="17"/>
      <c r="LW116" s="17"/>
      <c r="LX116" s="22">
        <v>1</v>
      </c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22">
        <v>1</v>
      </c>
      <c r="MR116" s="17"/>
      <c r="MS116" s="22">
        <v>1</v>
      </c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22">
        <v>1</v>
      </c>
      <c r="NJ116" s="17"/>
      <c r="NK116" s="17"/>
      <c r="NL116" s="17"/>
      <c r="NM116" s="22">
        <v>1</v>
      </c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22">
        <v>1</v>
      </c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22">
        <v>1</v>
      </c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22">
        <v>2</v>
      </c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22" t="s">
        <v>507</v>
      </c>
      <c r="PX116" s="22" t="s">
        <v>507</v>
      </c>
      <c r="PY116" s="22" t="s">
        <v>507</v>
      </c>
      <c r="PZ116" s="22" t="s">
        <v>507</v>
      </c>
      <c r="QA116" s="22" t="s">
        <v>507</v>
      </c>
      <c r="QB116" s="22">
        <v>0</v>
      </c>
      <c r="QC116" s="22" t="s">
        <v>507</v>
      </c>
      <c r="QD116" s="22" t="s">
        <v>508</v>
      </c>
      <c r="QE116" s="22" t="s">
        <v>508</v>
      </c>
      <c r="QF116" s="22" t="s">
        <v>508</v>
      </c>
      <c r="QG116" s="22" t="s">
        <v>508</v>
      </c>
      <c r="QH116" s="22" t="s">
        <v>508</v>
      </c>
      <c r="QI116" s="22">
        <v>1</v>
      </c>
      <c r="QJ116" s="22">
        <v>1</v>
      </c>
      <c r="QK116" s="22">
        <v>0</v>
      </c>
      <c r="QL116" s="22">
        <v>1</v>
      </c>
      <c r="QM116" s="22">
        <v>1</v>
      </c>
      <c r="QN116" s="22">
        <v>1</v>
      </c>
      <c r="QO116" s="22">
        <v>1</v>
      </c>
      <c r="QP116" s="22">
        <v>1</v>
      </c>
      <c r="QQ116" s="22">
        <v>1</v>
      </c>
      <c r="QR116" s="22">
        <v>1</v>
      </c>
      <c r="QS116" s="22">
        <v>1</v>
      </c>
      <c r="QT116" s="22">
        <v>0</v>
      </c>
      <c r="QU116" s="22">
        <v>1</v>
      </c>
      <c r="QV116" s="22">
        <v>1</v>
      </c>
      <c r="QW116" s="22">
        <v>0</v>
      </c>
      <c r="QX116" s="22">
        <v>0</v>
      </c>
      <c r="QY116" s="22">
        <v>0</v>
      </c>
      <c r="QZ116" s="22">
        <v>1</v>
      </c>
      <c r="RA116" s="22">
        <v>0</v>
      </c>
      <c r="RB116" s="22">
        <v>1</v>
      </c>
      <c r="RC116" s="22">
        <v>1</v>
      </c>
      <c r="RD116" s="22">
        <v>0</v>
      </c>
      <c r="RE116" s="22">
        <v>0</v>
      </c>
      <c r="RF116" s="17"/>
      <c r="RG116" s="17"/>
      <c r="RH116" s="17"/>
      <c r="RI116" s="17"/>
      <c r="RJ116" s="17"/>
      <c r="RK116" s="22">
        <v>1</v>
      </c>
      <c r="RL116" s="22">
        <v>1</v>
      </c>
      <c r="RM116" s="17"/>
      <c r="RN116" s="17"/>
      <c r="RO116" s="17"/>
      <c r="RP116" s="17"/>
      <c r="RQ116" s="17"/>
      <c r="RR116" s="17"/>
      <c r="RS116" s="22">
        <v>1</v>
      </c>
      <c r="RT116" s="22">
        <v>1</v>
      </c>
      <c r="RU116" s="17"/>
      <c r="RV116" s="17"/>
      <c r="RW116" s="22">
        <v>1</v>
      </c>
      <c r="RX116" s="22">
        <v>1</v>
      </c>
      <c r="RY116" s="17"/>
      <c r="RZ116" s="17"/>
      <c r="SA116" s="22">
        <v>1</v>
      </c>
      <c r="SB116" s="17"/>
      <c r="SC116" s="17"/>
      <c r="SD116" s="22">
        <v>1</v>
      </c>
      <c r="SE116" s="22">
        <v>1</v>
      </c>
      <c r="SF116" s="17"/>
      <c r="SG116" s="17"/>
      <c r="SH116" s="22">
        <v>1</v>
      </c>
      <c r="SI116" s="22">
        <v>10118</v>
      </c>
      <c r="SJ116" s="19">
        <f t="shared" si="7"/>
        <v>52</v>
      </c>
      <c r="SK116" s="19">
        <f t="shared" si="8"/>
        <v>58</v>
      </c>
      <c r="SL116" s="19">
        <f t="shared" si="9"/>
        <v>6</v>
      </c>
      <c r="SM116" s="9">
        <v>10118</v>
      </c>
      <c r="SN116" s="9" t="s">
        <v>504</v>
      </c>
      <c r="SO116" s="10">
        <v>2</v>
      </c>
      <c r="SP116" s="9">
        <v>2</v>
      </c>
      <c r="SQ116" s="11" t="s">
        <v>517</v>
      </c>
      <c r="SR116" s="9">
        <v>16</v>
      </c>
      <c r="SS116" s="28">
        <v>52</v>
      </c>
      <c r="ST116" s="28">
        <v>17</v>
      </c>
      <c r="SU116" s="28">
        <v>68</v>
      </c>
      <c r="SV116" s="28">
        <v>6</v>
      </c>
      <c r="SW116" s="28">
        <v>4</v>
      </c>
      <c r="SX116" s="28">
        <v>9</v>
      </c>
      <c r="SY116" s="29">
        <v>32</v>
      </c>
      <c r="SZ116" s="30">
        <v>12</v>
      </c>
      <c r="TA116" s="31">
        <v>22</v>
      </c>
      <c r="TB116" s="31">
        <v>40</v>
      </c>
    </row>
    <row r="117" spans="1:522" ht="15.75" customHeight="1" x14ac:dyDescent="0.2">
      <c r="A117" s="22">
        <v>10119</v>
      </c>
      <c r="B117" s="22" t="s">
        <v>501</v>
      </c>
      <c r="C117" s="22" t="s">
        <v>502</v>
      </c>
      <c r="D117" s="22" t="s">
        <v>535</v>
      </c>
      <c r="E117" s="22" t="s">
        <v>509</v>
      </c>
      <c r="F117" s="23">
        <v>39431</v>
      </c>
      <c r="G117" s="23">
        <v>39992</v>
      </c>
      <c r="H117" s="14">
        <f t="shared" si="6"/>
        <v>18</v>
      </c>
      <c r="I117" s="22" t="s">
        <v>536</v>
      </c>
      <c r="J117" s="22">
        <v>1</v>
      </c>
      <c r="K117" s="22">
        <v>1</v>
      </c>
      <c r="L117" s="22">
        <v>1</v>
      </c>
      <c r="M117" s="22">
        <v>1</v>
      </c>
      <c r="N117" s="17"/>
      <c r="O117" s="17"/>
      <c r="P117" s="17"/>
      <c r="Q117" s="22">
        <v>1</v>
      </c>
      <c r="R117" s="22">
        <v>1</v>
      </c>
      <c r="S117" s="22">
        <v>1</v>
      </c>
      <c r="T117" s="22">
        <v>1</v>
      </c>
      <c r="U117" s="22">
        <v>1</v>
      </c>
      <c r="V117" s="22">
        <v>1</v>
      </c>
      <c r="W117" s="17"/>
      <c r="X117" s="22">
        <v>1</v>
      </c>
      <c r="Y117" s="22">
        <v>1</v>
      </c>
      <c r="Z117" s="22">
        <v>1</v>
      </c>
      <c r="AA117" s="22">
        <v>1</v>
      </c>
      <c r="AB117" s="22">
        <v>1</v>
      </c>
      <c r="AC117" s="22">
        <v>1</v>
      </c>
      <c r="AD117" s="17"/>
      <c r="AE117" s="22">
        <v>1</v>
      </c>
      <c r="AF117" s="22">
        <v>1</v>
      </c>
      <c r="AG117" s="22">
        <v>1</v>
      </c>
      <c r="AH117" s="22">
        <v>1</v>
      </c>
      <c r="AI117" s="17"/>
      <c r="AJ117" s="17"/>
      <c r="AK117" s="22">
        <v>1</v>
      </c>
      <c r="AL117" s="17"/>
      <c r="AM117" s="17"/>
      <c r="AN117" s="22">
        <v>1</v>
      </c>
      <c r="AO117" s="22" t="s">
        <v>508</v>
      </c>
      <c r="AP117" s="22" t="s">
        <v>508</v>
      </c>
      <c r="AQ117" s="17"/>
      <c r="AR117" s="17"/>
      <c r="AS117" s="17"/>
      <c r="AT117" s="22">
        <v>1</v>
      </c>
      <c r="AU117" s="22">
        <v>1</v>
      </c>
      <c r="AV117" s="22">
        <v>1</v>
      </c>
      <c r="AW117" s="17"/>
      <c r="AX117" s="17"/>
      <c r="AY117" s="22">
        <v>1</v>
      </c>
      <c r="AZ117" s="17"/>
      <c r="BA117" s="22">
        <v>2</v>
      </c>
      <c r="BB117" s="22">
        <v>2</v>
      </c>
      <c r="BC117" s="17"/>
      <c r="BD117" s="22">
        <v>1</v>
      </c>
      <c r="BE117" s="17"/>
      <c r="BF117" s="22">
        <v>1</v>
      </c>
      <c r="BG117" s="17"/>
      <c r="BH117" s="22">
        <v>1</v>
      </c>
      <c r="BI117" s="22">
        <v>1</v>
      </c>
      <c r="BJ117" s="17"/>
      <c r="BK117" s="17"/>
      <c r="BL117" s="17"/>
      <c r="BM117" s="17"/>
      <c r="BN117" s="22">
        <v>1</v>
      </c>
      <c r="BO117" s="17"/>
      <c r="BP117" s="22">
        <v>1</v>
      </c>
      <c r="BQ117" s="22">
        <v>1</v>
      </c>
      <c r="BR117" s="22">
        <v>1</v>
      </c>
      <c r="BS117" s="17"/>
      <c r="BT117" s="17"/>
      <c r="BU117" s="17"/>
      <c r="BV117" s="17"/>
      <c r="BW117" s="17"/>
      <c r="BX117" s="17"/>
      <c r="BY117" s="17"/>
      <c r="BZ117" s="22">
        <v>1</v>
      </c>
      <c r="CA117" s="17"/>
      <c r="CB117" s="17"/>
      <c r="CC117" s="17"/>
      <c r="CD117" s="17"/>
      <c r="CE117" s="17"/>
      <c r="CF117" s="22">
        <v>1</v>
      </c>
      <c r="CG117" s="17"/>
      <c r="CH117" s="17"/>
      <c r="CI117" s="22">
        <v>1</v>
      </c>
      <c r="CJ117" s="17"/>
      <c r="CK117" s="17"/>
      <c r="CL117" s="17"/>
      <c r="CM117" s="17"/>
      <c r="CN117" s="22">
        <v>1</v>
      </c>
      <c r="CO117" s="22">
        <v>1</v>
      </c>
      <c r="CP117" s="22">
        <v>1</v>
      </c>
      <c r="CQ117" s="17"/>
      <c r="CR117" s="17"/>
      <c r="CS117" s="22">
        <v>1</v>
      </c>
      <c r="CT117" s="17"/>
      <c r="CU117" s="22">
        <v>1</v>
      </c>
      <c r="CV117" s="22">
        <v>1</v>
      </c>
      <c r="CW117" s="22">
        <v>1</v>
      </c>
      <c r="CX117" s="22">
        <v>1</v>
      </c>
      <c r="CY117" s="22">
        <v>2</v>
      </c>
      <c r="CZ117" s="17"/>
      <c r="DA117" s="22">
        <v>1</v>
      </c>
      <c r="DB117" s="17"/>
      <c r="DC117" s="22">
        <v>1</v>
      </c>
      <c r="DD117" s="22">
        <v>1</v>
      </c>
      <c r="DE117" s="22">
        <v>2</v>
      </c>
      <c r="DF117" s="22">
        <v>1</v>
      </c>
      <c r="DG117" s="17"/>
      <c r="DH117" s="17"/>
      <c r="DI117" s="17"/>
      <c r="DJ117" s="17"/>
      <c r="DK117" s="17"/>
      <c r="DL117" s="22">
        <v>1</v>
      </c>
      <c r="DM117" s="22">
        <v>1</v>
      </c>
      <c r="DN117" s="17"/>
      <c r="DO117" s="17"/>
      <c r="DP117" s="17"/>
      <c r="DQ117" s="22">
        <v>1</v>
      </c>
      <c r="DR117" s="22">
        <v>1</v>
      </c>
      <c r="DS117" s="17"/>
      <c r="DT117" s="17"/>
      <c r="DU117" s="17"/>
      <c r="DV117" s="17"/>
      <c r="DW117" s="22">
        <v>1</v>
      </c>
      <c r="DX117" s="17"/>
      <c r="DY117" s="22">
        <v>1</v>
      </c>
      <c r="DZ117" s="17"/>
      <c r="EA117" s="17"/>
      <c r="EB117" s="17"/>
      <c r="EC117" s="17"/>
      <c r="ED117" s="22">
        <v>1</v>
      </c>
      <c r="EE117" s="22">
        <v>1</v>
      </c>
      <c r="EF117" s="22">
        <v>1</v>
      </c>
      <c r="EG117" s="22">
        <v>1</v>
      </c>
      <c r="EH117" s="17"/>
      <c r="EI117" s="22">
        <v>1</v>
      </c>
      <c r="EJ117" s="17"/>
      <c r="EK117" s="22">
        <v>1</v>
      </c>
      <c r="EL117" s="22">
        <v>1</v>
      </c>
      <c r="EM117" s="22">
        <v>1</v>
      </c>
      <c r="EN117" s="17"/>
      <c r="EO117" s="22">
        <v>1</v>
      </c>
      <c r="EP117" s="17"/>
      <c r="EQ117" s="17"/>
      <c r="ER117" s="17"/>
      <c r="ES117" s="22">
        <v>1</v>
      </c>
      <c r="ET117" s="22">
        <v>1</v>
      </c>
      <c r="EU117" s="22">
        <v>1</v>
      </c>
      <c r="EV117" s="22">
        <v>1</v>
      </c>
      <c r="EW117" s="17"/>
      <c r="EX117" s="22">
        <v>1</v>
      </c>
      <c r="EY117" s="17"/>
      <c r="EZ117" s="22">
        <v>1</v>
      </c>
      <c r="FA117" s="17"/>
      <c r="FB117" s="22">
        <v>1</v>
      </c>
      <c r="FC117" s="22">
        <v>1</v>
      </c>
      <c r="FD117" s="22">
        <v>1</v>
      </c>
      <c r="FE117" s="22">
        <v>1</v>
      </c>
      <c r="FF117" s="17"/>
      <c r="FG117" s="22">
        <v>1</v>
      </c>
      <c r="FH117" s="22">
        <v>1</v>
      </c>
      <c r="FI117" s="22">
        <v>1</v>
      </c>
      <c r="FJ117" s="22">
        <v>1</v>
      </c>
      <c r="FK117" s="22">
        <v>1</v>
      </c>
      <c r="FL117" s="22">
        <v>1</v>
      </c>
      <c r="FM117" s="17"/>
      <c r="FN117" s="22">
        <v>1</v>
      </c>
      <c r="FO117" s="22">
        <v>1</v>
      </c>
      <c r="FP117" s="17"/>
      <c r="FQ117" s="22">
        <v>1</v>
      </c>
      <c r="FR117" s="22">
        <v>1</v>
      </c>
      <c r="FS117" s="22">
        <v>1</v>
      </c>
      <c r="FT117" s="17"/>
      <c r="FU117" s="17"/>
      <c r="FV117" s="22">
        <v>1</v>
      </c>
      <c r="FW117" s="22">
        <v>1</v>
      </c>
      <c r="FX117" s="22">
        <v>1</v>
      </c>
      <c r="FY117" s="17"/>
      <c r="FZ117" s="22">
        <v>1</v>
      </c>
      <c r="GA117" s="17"/>
      <c r="GB117" s="17"/>
      <c r="GC117" s="22">
        <v>1</v>
      </c>
      <c r="GD117" s="17"/>
      <c r="GE117" s="22">
        <v>1</v>
      </c>
      <c r="GF117" s="17"/>
      <c r="GG117" s="17"/>
      <c r="GH117" s="17"/>
      <c r="GI117" s="22">
        <v>1</v>
      </c>
      <c r="GJ117" s="17"/>
      <c r="GK117" s="22">
        <v>1</v>
      </c>
      <c r="GL117" s="17"/>
      <c r="GM117" s="17"/>
      <c r="GN117" s="17"/>
      <c r="GO117" s="17"/>
      <c r="GP117" s="17"/>
      <c r="GQ117" s="17"/>
      <c r="GR117" s="22">
        <v>1</v>
      </c>
      <c r="GS117" s="17"/>
      <c r="GT117" s="22">
        <v>1</v>
      </c>
      <c r="GU117" s="17"/>
      <c r="GV117" s="17"/>
      <c r="GW117" s="17"/>
      <c r="GX117" s="22">
        <v>1</v>
      </c>
      <c r="GY117" s="22">
        <v>1</v>
      </c>
      <c r="GZ117" s="22">
        <v>1</v>
      </c>
      <c r="HA117" s="22">
        <v>1</v>
      </c>
      <c r="HB117" s="22">
        <v>1</v>
      </c>
      <c r="HC117" s="22">
        <v>1</v>
      </c>
      <c r="HD117" s="17"/>
      <c r="HE117" s="22">
        <v>1</v>
      </c>
      <c r="HF117" s="22">
        <v>1</v>
      </c>
      <c r="HG117" s="22">
        <v>1</v>
      </c>
      <c r="HH117" s="22">
        <v>1</v>
      </c>
      <c r="HI117" s="22">
        <v>1</v>
      </c>
      <c r="HJ117" s="22">
        <v>1</v>
      </c>
      <c r="HK117" s="22">
        <v>1</v>
      </c>
      <c r="HL117" s="22">
        <v>1</v>
      </c>
      <c r="HM117" s="17"/>
      <c r="HN117" s="17"/>
      <c r="HO117" s="22">
        <v>1</v>
      </c>
      <c r="HP117" s="22">
        <v>1</v>
      </c>
      <c r="HQ117" s="17"/>
      <c r="HR117" s="22">
        <v>1</v>
      </c>
      <c r="HS117" s="17"/>
      <c r="HT117" s="17"/>
      <c r="HU117" s="22">
        <v>1</v>
      </c>
      <c r="HV117" s="17"/>
      <c r="HW117" s="22">
        <v>1</v>
      </c>
      <c r="HX117" s="22">
        <v>1</v>
      </c>
      <c r="HY117" s="17"/>
      <c r="HZ117" s="22">
        <v>1</v>
      </c>
      <c r="IA117" s="17"/>
      <c r="IB117" s="22">
        <v>1</v>
      </c>
      <c r="IC117" s="17"/>
      <c r="ID117" s="22">
        <v>1</v>
      </c>
      <c r="IE117" s="17"/>
      <c r="IF117" s="22">
        <v>1</v>
      </c>
      <c r="IG117" s="22">
        <v>1</v>
      </c>
      <c r="IH117" s="22">
        <v>1</v>
      </c>
      <c r="II117" s="17"/>
      <c r="IJ117" s="17"/>
      <c r="IK117" s="22">
        <v>1</v>
      </c>
      <c r="IL117" s="17"/>
      <c r="IM117" s="17"/>
      <c r="IN117" s="22">
        <v>1</v>
      </c>
      <c r="IO117" s="17"/>
      <c r="IP117" s="17"/>
      <c r="IQ117" s="17"/>
      <c r="IR117" s="17"/>
      <c r="IS117" s="22">
        <v>1</v>
      </c>
      <c r="IT117" s="22">
        <v>1</v>
      </c>
      <c r="IU117" s="17"/>
      <c r="IV117" s="22">
        <v>1</v>
      </c>
      <c r="IW117" s="17"/>
      <c r="IX117" s="22">
        <v>1</v>
      </c>
      <c r="IY117" s="17"/>
      <c r="IZ117" s="22">
        <v>1</v>
      </c>
      <c r="JA117" s="22">
        <v>1</v>
      </c>
      <c r="JB117" s="22">
        <v>1</v>
      </c>
      <c r="JC117" s="17"/>
      <c r="JD117" s="17"/>
      <c r="JE117" s="22">
        <v>1</v>
      </c>
      <c r="JF117" s="22">
        <v>1</v>
      </c>
      <c r="JG117" s="22">
        <v>1</v>
      </c>
      <c r="JH117" s="17"/>
      <c r="JI117" s="17"/>
      <c r="JJ117" s="17"/>
      <c r="JK117" s="22">
        <v>1</v>
      </c>
      <c r="JL117" s="22">
        <v>1</v>
      </c>
      <c r="JM117" s="22">
        <v>1</v>
      </c>
      <c r="JN117" s="22">
        <v>1</v>
      </c>
      <c r="JO117" s="17"/>
      <c r="JP117" s="17"/>
      <c r="JQ117" s="22">
        <v>1</v>
      </c>
      <c r="JR117" s="22">
        <v>1</v>
      </c>
      <c r="JS117" s="17"/>
      <c r="JT117" s="22">
        <v>1</v>
      </c>
      <c r="JU117" s="17"/>
      <c r="JV117" s="17"/>
      <c r="JW117" s="17"/>
      <c r="JX117" s="22">
        <v>1</v>
      </c>
      <c r="JY117" s="22">
        <v>1</v>
      </c>
      <c r="JZ117" s="22">
        <v>1</v>
      </c>
      <c r="KA117" s="22">
        <v>1</v>
      </c>
      <c r="KB117" s="17"/>
      <c r="KC117" s="17"/>
      <c r="KD117" s="22">
        <v>1</v>
      </c>
      <c r="KE117" s="22">
        <v>1</v>
      </c>
      <c r="KF117" s="22">
        <v>1</v>
      </c>
      <c r="KG117" s="22">
        <v>2</v>
      </c>
      <c r="KH117" s="22">
        <v>1</v>
      </c>
      <c r="KI117" s="17"/>
      <c r="KJ117" s="22">
        <v>1</v>
      </c>
      <c r="KK117" s="17"/>
      <c r="KL117" s="22">
        <v>1</v>
      </c>
      <c r="KM117" s="17"/>
      <c r="KN117" s="22">
        <v>1</v>
      </c>
      <c r="KO117" s="22">
        <v>1</v>
      </c>
      <c r="KP117" s="22">
        <v>1</v>
      </c>
      <c r="KQ117" s="22">
        <v>1</v>
      </c>
      <c r="KR117" s="22">
        <v>1</v>
      </c>
      <c r="KS117" s="17"/>
      <c r="KT117" s="22">
        <v>1</v>
      </c>
      <c r="KU117" s="17"/>
      <c r="KV117" s="17"/>
      <c r="KW117" s="22">
        <v>1</v>
      </c>
      <c r="KX117" s="22">
        <v>1</v>
      </c>
      <c r="KY117" s="22">
        <v>1</v>
      </c>
      <c r="KZ117" s="17"/>
      <c r="LA117" s="22">
        <v>1</v>
      </c>
      <c r="LB117" s="17"/>
      <c r="LC117" s="22">
        <v>1</v>
      </c>
      <c r="LD117" s="22">
        <v>1</v>
      </c>
      <c r="LE117" s="22">
        <v>1</v>
      </c>
      <c r="LF117" s="17"/>
      <c r="LG117" s="22">
        <v>1</v>
      </c>
      <c r="LH117" s="22">
        <v>1</v>
      </c>
      <c r="LI117" s="22">
        <v>1</v>
      </c>
      <c r="LJ117" s="22">
        <v>1</v>
      </c>
      <c r="LK117" s="22">
        <v>1</v>
      </c>
      <c r="LL117" s="22">
        <v>1</v>
      </c>
      <c r="LM117" s="17"/>
      <c r="LN117" s="17"/>
      <c r="LO117" s="17"/>
      <c r="LP117" s="22">
        <v>1</v>
      </c>
      <c r="LQ117" s="22">
        <v>1</v>
      </c>
      <c r="LR117" s="17"/>
      <c r="LS117" s="22">
        <v>1</v>
      </c>
      <c r="LT117" s="17"/>
      <c r="LU117" s="17"/>
      <c r="LV117" s="22">
        <v>1</v>
      </c>
      <c r="LW117" s="17"/>
      <c r="LX117" s="22">
        <v>1</v>
      </c>
      <c r="LY117" s="22">
        <v>1</v>
      </c>
      <c r="LZ117" s="22">
        <v>1</v>
      </c>
      <c r="MA117" s="17"/>
      <c r="MB117" s="22">
        <v>1</v>
      </c>
      <c r="MC117" s="22">
        <v>1</v>
      </c>
      <c r="MD117" s="22">
        <v>1</v>
      </c>
      <c r="ME117" s="22">
        <v>1</v>
      </c>
      <c r="MF117" s="22">
        <v>1</v>
      </c>
      <c r="MG117" s="22">
        <v>1</v>
      </c>
      <c r="MH117" s="17"/>
      <c r="MI117" s="22">
        <v>1</v>
      </c>
      <c r="MJ117" s="22">
        <v>1</v>
      </c>
      <c r="MK117" s="17"/>
      <c r="ML117" s="22">
        <v>1</v>
      </c>
      <c r="MM117" s="22">
        <v>1</v>
      </c>
      <c r="MN117" s="22">
        <v>1</v>
      </c>
      <c r="MO117" s="17"/>
      <c r="MP117" s="22">
        <v>1</v>
      </c>
      <c r="MQ117" s="22">
        <v>1</v>
      </c>
      <c r="MR117" s="17"/>
      <c r="MS117" s="17"/>
      <c r="MT117" s="17"/>
      <c r="MU117" s="17"/>
      <c r="MV117" s="22">
        <v>1</v>
      </c>
      <c r="MW117" s="17"/>
      <c r="MX117" s="17"/>
      <c r="MY117" s="17"/>
      <c r="MZ117" s="17"/>
      <c r="NA117" s="17"/>
      <c r="NB117" s="22">
        <v>1</v>
      </c>
      <c r="NC117" s="22">
        <v>1</v>
      </c>
      <c r="ND117" s="17"/>
      <c r="NE117" s="22">
        <v>1</v>
      </c>
      <c r="NF117" s="22">
        <v>1</v>
      </c>
      <c r="NG117" s="17"/>
      <c r="NH117" s="17"/>
      <c r="NI117" s="22">
        <v>1</v>
      </c>
      <c r="NJ117" s="22">
        <v>1</v>
      </c>
      <c r="NK117" s="22">
        <v>1</v>
      </c>
      <c r="NL117" s="22">
        <v>1</v>
      </c>
      <c r="NM117" s="22">
        <v>1</v>
      </c>
      <c r="NN117" s="22">
        <v>1</v>
      </c>
      <c r="NO117" s="22">
        <v>1</v>
      </c>
      <c r="NP117" s="22">
        <v>1</v>
      </c>
      <c r="NQ117" s="17"/>
      <c r="NR117" s="22">
        <v>1</v>
      </c>
      <c r="NS117" s="22">
        <v>1</v>
      </c>
      <c r="NT117" s="22">
        <v>1</v>
      </c>
      <c r="NU117" s="17"/>
      <c r="NV117" s="17"/>
      <c r="NW117" s="22">
        <v>1</v>
      </c>
      <c r="NX117" s="17"/>
      <c r="NY117" s="22">
        <v>1</v>
      </c>
      <c r="NZ117" s="17"/>
      <c r="OA117" s="22">
        <v>1</v>
      </c>
      <c r="OB117" s="17"/>
      <c r="OC117" s="17"/>
      <c r="OD117" s="22">
        <v>1</v>
      </c>
      <c r="OE117" s="17"/>
      <c r="OF117" s="17"/>
      <c r="OG117" s="22">
        <v>1</v>
      </c>
      <c r="OH117" s="22">
        <v>1</v>
      </c>
      <c r="OI117" s="17"/>
      <c r="OJ117" s="17"/>
      <c r="OK117" s="22">
        <v>1</v>
      </c>
      <c r="OL117" s="17"/>
      <c r="OM117" s="17"/>
      <c r="ON117" s="17"/>
      <c r="OO117" s="17"/>
      <c r="OP117" s="17"/>
      <c r="OQ117" s="22">
        <v>1</v>
      </c>
      <c r="OR117" s="17"/>
      <c r="OS117" s="17"/>
      <c r="OT117" s="22">
        <v>2</v>
      </c>
      <c r="OU117" s="22">
        <v>1</v>
      </c>
      <c r="OV117" s="17"/>
      <c r="OW117" s="17"/>
      <c r="OX117" s="17"/>
      <c r="OY117" s="17"/>
      <c r="OZ117" s="17"/>
      <c r="PA117" s="22">
        <v>1</v>
      </c>
      <c r="PB117" s="17"/>
      <c r="PC117" s="17"/>
      <c r="PD117" s="17"/>
      <c r="PE117" s="22">
        <v>1</v>
      </c>
      <c r="PF117" s="22">
        <v>1</v>
      </c>
      <c r="PG117" s="22">
        <v>1</v>
      </c>
      <c r="PH117" s="22">
        <v>1</v>
      </c>
      <c r="PI117" s="17"/>
      <c r="PJ117" s="17"/>
      <c r="PK117" s="22">
        <v>1</v>
      </c>
      <c r="PL117" s="17"/>
      <c r="PM117" s="22">
        <v>1</v>
      </c>
      <c r="PN117" s="22">
        <v>1</v>
      </c>
      <c r="PO117" s="22">
        <v>1</v>
      </c>
      <c r="PP117" s="22">
        <v>1</v>
      </c>
      <c r="PQ117" s="22">
        <v>1</v>
      </c>
      <c r="PR117" s="17"/>
      <c r="PS117" s="17"/>
      <c r="PT117" s="17"/>
      <c r="PU117" s="17"/>
      <c r="PV117" s="17"/>
      <c r="PW117" s="22" t="s">
        <v>506</v>
      </c>
      <c r="PX117" s="17"/>
      <c r="PY117" s="22" t="s">
        <v>506</v>
      </c>
      <c r="PZ117" s="22" t="s">
        <v>506</v>
      </c>
      <c r="QA117" s="22" t="s">
        <v>507</v>
      </c>
      <c r="QB117" s="22" t="s">
        <v>507</v>
      </c>
      <c r="QC117" s="22" t="s">
        <v>507</v>
      </c>
      <c r="QD117" s="22" t="s">
        <v>508</v>
      </c>
      <c r="QE117" s="22" t="s">
        <v>506</v>
      </c>
      <c r="QF117" s="22" t="s">
        <v>506</v>
      </c>
      <c r="QG117" s="22" t="s">
        <v>506</v>
      </c>
      <c r="QH117" s="22" t="s">
        <v>508</v>
      </c>
      <c r="QI117" s="22">
        <v>1</v>
      </c>
      <c r="QJ117" s="22">
        <v>1</v>
      </c>
      <c r="QK117" s="22">
        <v>1</v>
      </c>
      <c r="QL117" s="22">
        <v>1</v>
      </c>
      <c r="QM117" s="22">
        <v>1</v>
      </c>
      <c r="QN117" s="22">
        <v>1</v>
      </c>
      <c r="QO117" s="22">
        <v>1</v>
      </c>
      <c r="QP117" s="22">
        <v>1</v>
      </c>
      <c r="QQ117" s="22">
        <v>1</v>
      </c>
      <c r="QR117" s="22">
        <v>1</v>
      </c>
      <c r="QS117" s="22">
        <v>1</v>
      </c>
      <c r="QT117" s="22">
        <v>1</v>
      </c>
      <c r="QU117" s="22">
        <v>1</v>
      </c>
      <c r="QV117" s="22">
        <v>1</v>
      </c>
      <c r="QW117" s="22">
        <v>0</v>
      </c>
      <c r="QX117" s="22">
        <v>0</v>
      </c>
      <c r="QY117" s="22">
        <v>0</v>
      </c>
      <c r="QZ117" s="22">
        <v>1</v>
      </c>
      <c r="RA117" s="22">
        <v>1</v>
      </c>
      <c r="RB117" s="22">
        <v>1</v>
      </c>
      <c r="RC117" s="22">
        <v>1</v>
      </c>
      <c r="RD117" s="22">
        <v>1</v>
      </c>
      <c r="RE117" s="22">
        <v>1</v>
      </c>
      <c r="RF117" s="22">
        <v>0</v>
      </c>
      <c r="RG117" s="22">
        <v>1</v>
      </c>
      <c r="RH117" s="22">
        <v>1</v>
      </c>
      <c r="RI117" s="22">
        <v>1</v>
      </c>
      <c r="RJ117" s="22">
        <v>0</v>
      </c>
      <c r="RK117" s="22">
        <v>1</v>
      </c>
      <c r="RL117" s="22">
        <v>0</v>
      </c>
      <c r="RM117" s="22">
        <v>1</v>
      </c>
      <c r="RN117" s="22">
        <v>1</v>
      </c>
      <c r="RO117" s="22">
        <v>1</v>
      </c>
      <c r="RP117" s="22">
        <v>1</v>
      </c>
      <c r="RQ117" s="22">
        <v>1</v>
      </c>
      <c r="RR117" s="22">
        <v>1</v>
      </c>
      <c r="RS117" s="17"/>
      <c r="RT117" s="22">
        <v>0</v>
      </c>
      <c r="RU117" s="22">
        <v>1</v>
      </c>
      <c r="RV117" s="22">
        <v>1</v>
      </c>
      <c r="RW117" s="22">
        <v>0</v>
      </c>
      <c r="RX117" s="22">
        <v>1</v>
      </c>
      <c r="RY117" s="22">
        <v>0</v>
      </c>
      <c r="RZ117" s="22">
        <v>0</v>
      </c>
      <c r="SA117" s="22">
        <v>0</v>
      </c>
      <c r="SB117" s="17"/>
      <c r="SC117" s="22">
        <v>0</v>
      </c>
      <c r="SD117" s="17"/>
      <c r="SE117" s="22">
        <v>0</v>
      </c>
      <c r="SF117" s="22">
        <v>0</v>
      </c>
      <c r="SG117" s="22">
        <v>1</v>
      </c>
      <c r="SH117" s="17"/>
      <c r="SI117" s="22">
        <v>10119</v>
      </c>
      <c r="SJ117" s="19">
        <f t="shared" si="7"/>
        <v>203</v>
      </c>
      <c r="SK117" s="19">
        <f t="shared" si="8"/>
        <v>209</v>
      </c>
      <c r="SL117" s="19">
        <f t="shared" si="9"/>
        <v>6</v>
      </c>
      <c r="SM117" s="9">
        <v>10119</v>
      </c>
      <c r="SN117" s="9" t="s">
        <v>509</v>
      </c>
      <c r="SO117" s="10">
        <v>1</v>
      </c>
      <c r="SP117" s="9">
        <v>1</v>
      </c>
      <c r="SQ117" s="11" t="s">
        <v>517</v>
      </c>
      <c r="SR117" s="9">
        <v>14</v>
      </c>
      <c r="SS117" s="28">
        <v>51.5</v>
      </c>
      <c r="ST117" s="28">
        <v>18</v>
      </c>
      <c r="SU117" s="28">
        <v>302</v>
      </c>
      <c r="SV117" s="28">
        <v>61</v>
      </c>
      <c r="SW117" s="28">
        <v>8</v>
      </c>
      <c r="SX117" s="28">
        <v>7</v>
      </c>
      <c r="SY117" s="29">
        <v>46</v>
      </c>
      <c r="SZ117" s="30">
        <v>25</v>
      </c>
      <c r="TA117" s="31">
        <v>27</v>
      </c>
      <c r="TB117" s="31">
        <v>65</v>
      </c>
    </row>
    <row r="118" spans="1:522" ht="15.75" customHeight="1" x14ac:dyDescent="0.2">
      <c r="A118" s="22">
        <v>10120</v>
      </c>
      <c r="B118" s="22" t="s">
        <v>501</v>
      </c>
      <c r="C118" s="22" t="s">
        <v>502</v>
      </c>
      <c r="D118" s="22" t="s">
        <v>535</v>
      </c>
      <c r="E118" s="22" t="s">
        <v>509</v>
      </c>
      <c r="F118" s="23">
        <v>39367</v>
      </c>
      <c r="G118" s="23">
        <v>39933</v>
      </c>
      <c r="H118" s="14">
        <f t="shared" si="6"/>
        <v>18</v>
      </c>
      <c r="I118" s="22" t="s">
        <v>536</v>
      </c>
      <c r="J118" s="22">
        <v>1</v>
      </c>
      <c r="K118" s="22">
        <v>1</v>
      </c>
      <c r="L118" s="22">
        <v>1</v>
      </c>
      <c r="M118" s="17"/>
      <c r="N118" s="17"/>
      <c r="O118" s="17"/>
      <c r="P118" s="17"/>
      <c r="Q118" s="22">
        <v>1</v>
      </c>
      <c r="R118" s="22">
        <v>1</v>
      </c>
      <c r="S118" s="22">
        <v>1</v>
      </c>
      <c r="T118" s="22">
        <v>1</v>
      </c>
      <c r="U118" s="22">
        <v>1</v>
      </c>
      <c r="V118" s="22">
        <v>1</v>
      </c>
      <c r="W118" s="22">
        <v>1</v>
      </c>
      <c r="X118" s="22">
        <v>1</v>
      </c>
      <c r="Y118" s="22">
        <v>1</v>
      </c>
      <c r="Z118" s="17"/>
      <c r="AA118" s="22">
        <v>1</v>
      </c>
      <c r="AB118" s="22">
        <v>1</v>
      </c>
      <c r="AC118" s="17"/>
      <c r="AD118" s="17"/>
      <c r="AE118" s="22">
        <v>1</v>
      </c>
      <c r="AF118" s="17"/>
      <c r="AG118" s="17"/>
      <c r="AH118" s="17"/>
      <c r="AI118" s="17"/>
      <c r="AJ118" s="22">
        <v>1</v>
      </c>
      <c r="AK118" s="22">
        <v>1</v>
      </c>
      <c r="AL118" s="17"/>
      <c r="AM118" s="17"/>
      <c r="AN118" s="17"/>
      <c r="AO118" s="22" t="s">
        <v>506</v>
      </c>
      <c r="AP118" s="22" t="s">
        <v>507</v>
      </c>
      <c r="AQ118" s="17"/>
      <c r="AR118" s="17"/>
      <c r="AS118" s="17"/>
      <c r="AT118" s="17"/>
      <c r="AU118" s="17"/>
      <c r="AV118" s="17"/>
      <c r="AW118" s="22">
        <v>2</v>
      </c>
      <c r="AX118" s="22">
        <v>1</v>
      </c>
      <c r="AY118" s="17"/>
      <c r="AZ118" s="17"/>
      <c r="BA118" s="22">
        <v>2</v>
      </c>
      <c r="BB118" s="17"/>
      <c r="BC118" s="17"/>
      <c r="BD118" s="22">
        <v>2</v>
      </c>
      <c r="BE118" s="17"/>
      <c r="BF118" s="17"/>
      <c r="BG118" s="17"/>
      <c r="BH118" s="17"/>
      <c r="BI118" s="17"/>
      <c r="BJ118" s="17"/>
      <c r="BK118" s="17"/>
      <c r="BL118" s="17"/>
      <c r="BM118" s="17"/>
      <c r="BN118" s="22">
        <v>1</v>
      </c>
      <c r="BO118" s="17"/>
      <c r="BP118" s="22">
        <v>1</v>
      </c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22">
        <v>1</v>
      </c>
      <c r="CE118" s="17"/>
      <c r="CF118" s="17"/>
      <c r="CG118" s="17"/>
      <c r="CH118" s="17"/>
      <c r="CI118" s="17"/>
      <c r="CJ118" s="17"/>
      <c r="CK118" s="17"/>
      <c r="CL118" s="17"/>
      <c r="CM118" s="22">
        <v>2</v>
      </c>
      <c r="CN118" s="22">
        <v>1</v>
      </c>
      <c r="CO118" s="17"/>
      <c r="CP118" s="22">
        <v>2</v>
      </c>
      <c r="CQ118" s="17"/>
      <c r="CR118" s="17"/>
      <c r="CS118" s="17"/>
      <c r="CT118" s="17"/>
      <c r="CU118" s="17"/>
      <c r="CV118" s="22">
        <v>2</v>
      </c>
      <c r="CW118" s="22">
        <v>2</v>
      </c>
      <c r="CX118" s="17"/>
      <c r="CY118" s="22">
        <v>2</v>
      </c>
      <c r="CZ118" s="22">
        <v>1</v>
      </c>
      <c r="DA118" s="22">
        <v>1</v>
      </c>
      <c r="DB118" s="17"/>
      <c r="DC118" s="17"/>
      <c r="DD118" s="22">
        <v>2</v>
      </c>
      <c r="DE118" s="22">
        <v>2</v>
      </c>
      <c r="DF118" s="22">
        <v>2</v>
      </c>
      <c r="DG118" s="17"/>
      <c r="DH118" s="17"/>
      <c r="DI118" s="17"/>
      <c r="DJ118" s="22">
        <v>1</v>
      </c>
      <c r="DK118" s="22">
        <v>1</v>
      </c>
      <c r="DL118" s="22">
        <v>1</v>
      </c>
      <c r="DM118" s="22">
        <v>1</v>
      </c>
      <c r="DN118" s="17"/>
      <c r="DO118" s="17"/>
      <c r="DP118" s="17"/>
      <c r="DQ118" s="22">
        <v>2</v>
      </c>
      <c r="DR118" s="22">
        <v>1</v>
      </c>
      <c r="DS118" s="17"/>
      <c r="DT118" s="17"/>
      <c r="DU118" s="17"/>
      <c r="DV118" s="17"/>
      <c r="DW118" s="22">
        <v>1</v>
      </c>
      <c r="DX118" s="17"/>
      <c r="DY118" s="22">
        <v>2</v>
      </c>
      <c r="DZ118" s="17"/>
      <c r="EA118" s="22">
        <v>1</v>
      </c>
      <c r="EB118" s="17"/>
      <c r="EC118" s="17"/>
      <c r="ED118" s="17"/>
      <c r="EE118" s="17"/>
      <c r="EF118" s="17"/>
      <c r="EG118" s="22">
        <v>2</v>
      </c>
      <c r="EH118" s="17"/>
      <c r="EI118" s="22">
        <v>1</v>
      </c>
      <c r="EJ118" s="22">
        <v>1</v>
      </c>
      <c r="EK118" s="17"/>
      <c r="EL118" s="17"/>
      <c r="EM118" s="22">
        <v>2</v>
      </c>
      <c r="EN118" s="17"/>
      <c r="EO118" s="22">
        <v>2</v>
      </c>
      <c r="EP118" s="17"/>
      <c r="EQ118" s="17"/>
      <c r="ER118" s="17"/>
      <c r="ES118" s="22">
        <v>1</v>
      </c>
      <c r="ET118" s="17"/>
      <c r="EU118" s="17"/>
      <c r="EV118" s="22">
        <v>2</v>
      </c>
      <c r="EW118" s="17"/>
      <c r="EX118" s="22">
        <v>2</v>
      </c>
      <c r="EY118" s="17"/>
      <c r="EZ118" s="17"/>
      <c r="FA118" s="17"/>
      <c r="FB118" s="22">
        <v>1</v>
      </c>
      <c r="FC118" s="17"/>
      <c r="FD118" s="22">
        <v>1</v>
      </c>
      <c r="FE118" s="22">
        <v>1</v>
      </c>
      <c r="FF118" s="17"/>
      <c r="FG118" s="22">
        <v>1</v>
      </c>
      <c r="FH118" s="17"/>
      <c r="FI118" s="22">
        <v>1</v>
      </c>
      <c r="FJ118" s="22">
        <v>1</v>
      </c>
      <c r="FK118" s="22">
        <v>1</v>
      </c>
      <c r="FL118" s="17"/>
      <c r="FM118" s="17"/>
      <c r="FN118" s="22">
        <v>1</v>
      </c>
      <c r="FO118" s="22">
        <v>1</v>
      </c>
      <c r="FP118" s="22">
        <v>2</v>
      </c>
      <c r="FQ118" s="22">
        <v>1</v>
      </c>
      <c r="FR118" s="17"/>
      <c r="FS118" s="17"/>
      <c r="FT118" s="22">
        <v>1</v>
      </c>
      <c r="FU118" s="17"/>
      <c r="FV118" s="17"/>
      <c r="FW118" s="17"/>
      <c r="FX118" s="17"/>
      <c r="FY118" s="17"/>
      <c r="FZ118" s="17"/>
      <c r="GA118" s="17"/>
      <c r="GB118" s="17"/>
      <c r="GC118" s="22">
        <v>1</v>
      </c>
      <c r="GD118" s="17"/>
      <c r="GE118" s="17"/>
      <c r="GF118" s="17"/>
      <c r="GG118" s="22">
        <v>1</v>
      </c>
      <c r="GH118" s="17"/>
      <c r="GI118" s="22">
        <v>1</v>
      </c>
      <c r="GJ118" s="17"/>
      <c r="GK118" s="17"/>
      <c r="GL118" s="17"/>
      <c r="GM118" s="17"/>
      <c r="GN118" s="22">
        <v>2</v>
      </c>
      <c r="GO118" s="17"/>
      <c r="GP118" s="17"/>
      <c r="GQ118" s="17"/>
      <c r="GR118" s="17"/>
      <c r="GS118" s="22">
        <v>1</v>
      </c>
      <c r="GT118" s="17"/>
      <c r="GU118" s="17"/>
      <c r="GV118" s="17"/>
      <c r="GW118" s="17"/>
      <c r="GX118" s="17"/>
      <c r="GY118" s="17"/>
      <c r="GZ118" s="17"/>
      <c r="HA118" s="17"/>
      <c r="HB118" s="22">
        <v>1</v>
      </c>
      <c r="HC118" s="17"/>
      <c r="HD118" s="17"/>
      <c r="HE118" s="17"/>
      <c r="HF118" s="17"/>
      <c r="HG118" s="22">
        <v>1</v>
      </c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22">
        <v>1</v>
      </c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22">
        <v>2</v>
      </c>
      <c r="IL118" s="22">
        <v>1</v>
      </c>
      <c r="IM118" s="17"/>
      <c r="IN118" s="17"/>
      <c r="IO118" s="17"/>
      <c r="IP118" s="17"/>
      <c r="IQ118" s="22">
        <v>1</v>
      </c>
      <c r="IR118" s="17"/>
      <c r="IS118" s="17"/>
      <c r="IT118" s="17"/>
      <c r="IU118" s="22">
        <v>2</v>
      </c>
      <c r="IV118" s="17"/>
      <c r="IW118" s="17"/>
      <c r="IX118" s="17"/>
      <c r="IY118" s="17"/>
      <c r="IZ118" s="22">
        <v>1</v>
      </c>
      <c r="JA118" s="22">
        <v>2</v>
      </c>
      <c r="JB118" s="17"/>
      <c r="JC118" s="17"/>
      <c r="JD118" s="17"/>
      <c r="JE118" s="22">
        <v>2</v>
      </c>
      <c r="JF118" s="17"/>
      <c r="JG118" s="17"/>
      <c r="JH118" s="17"/>
      <c r="JI118" s="17"/>
      <c r="JJ118" s="17"/>
      <c r="JK118" s="22">
        <v>2</v>
      </c>
      <c r="JL118" s="17"/>
      <c r="JM118" s="22">
        <v>2</v>
      </c>
      <c r="JN118" s="22">
        <v>2</v>
      </c>
      <c r="JO118" s="17"/>
      <c r="JP118" s="17"/>
      <c r="JQ118" s="22">
        <v>2</v>
      </c>
      <c r="JR118" s="17"/>
      <c r="JS118" s="17"/>
      <c r="JT118" s="17"/>
      <c r="JU118" s="22">
        <v>12</v>
      </c>
      <c r="JV118" s="17"/>
      <c r="JW118" s="17"/>
      <c r="JX118" s="22">
        <v>1</v>
      </c>
      <c r="JY118" s="17"/>
      <c r="JZ118" s="22">
        <v>2</v>
      </c>
      <c r="KA118" s="17"/>
      <c r="KB118" s="22">
        <v>1</v>
      </c>
      <c r="KC118" s="22">
        <v>2</v>
      </c>
      <c r="KD118" s="22">
        <v>2</v>
      </c>
      <c r="KE118" s="17"/>
      <c r="KF118" s="22">
        <v>1</v>
      </c>
      <c r="KG118" s="22">
        <v>1</v>
      </c>
      <c r="KH118" s="22">
        <v>2</v>
      </c>
      <c r="KI118" s="17"/>
      <c r="KJ118" s="22">
        <v>1</v>
      </c>
      <c r="KK118" s="22">
        <v>2</v>
      </c>
      <c r="KL118" s="22">
        <v>1</v>
      </c>
      <c r="KM118" s="17"/>
      <c r="KN118" s="17"/>
      <c r="KO118" s="22">
        <v>1</v>
      </c>
      <c r="KP118" s="22">
        <v>2</v>
      </c>
      <c r="KQ118" s="22">
        <v>1</v>
      </c>
      <c r="KR118" s="22">
        <v>1</v>
      </c>
      <c r="KS118" s="17"/>
      <c r="KT118" s="22">
        <v>1</v>
      </c>
      <c r="KU118" s="17"/>
      <c r="KV118" s="22">
        <v>1</v>
      </c>
      <c r="KW118" s="17"/>
      <c r="KX118" s="22">
        <v>1</v>
      </c>
      <c r="KY118" s="17"/>
      <c r="KZ118" s="22">
        <v>1</v>
      </c>
      <c r="LA118" s="17"/>
      <c r="LB118" s="22">
        <v>1</v>
      </c>
      <c r="LC118" s="22">
        <v>1</v>
      </c>
      <c r="LD118" s="17"/>
      <c r="LE118" s="17"/>
      <c r="LF118" s="22">
        <v>1</v>
      </c>
      <c r="LG118" s="22">
        <v>1</v>
      </c>
      <c r="LH118" s="22">
        <v>2</v>
      </c>
      <c r="LI118" s="22">
        <v>2</v>
      </c>
      <c r="LJ118" s="22">
        <v>1</v>
      </c>
      <c r="LK118" s="17"/>
      <c r="LL118" s="17"/>
      <c r="LM118" s="17"/>
      <c r="LN118" s="17"/>
      <c r="LO118" s="17"/>
      <c r="LP118" s="22">
        <v>1</v>
      </c>
      <c r="LQ118" s="22">
        <v>1</v>
      </c>
      <c r="LR118" s="17"/>
      <c r="LS118" s="22">
        <v>2</v>
      </c>
      <c r="LT118" s="22">
        <v>1</v>
      </c>
      <c r="LU118" s="17"/>
      <c r="LV118" s="17"/>
      <c r="LW118" s="17"/>
      <c r="LX118" s="22">
        <v>2</v>
      </c>
      <c r="LY118" s="17"/>
      <c r="LZ118" s="17"/>
      <c r="MA118" s="22">
        <v>1</v>
      </c>
      <c r="MB118" s="17"/>
      <c r="MC118" s="22">
        <v>1</v>
      </c>
      <c r="MD118" s="17"/>
      <c r="ME118" s="22">
        <v>1</v>
      </c>
      <c r="MF118" s="17"/>
      <c r="MG118" s="22">
        <v>1</v>
      </c>
      <c r="MH118" s="17"/>
      <c r="MI118" s="17"/>
      <c r="MJ118" s="17"/>
      <c r="MK118" s="17"/>
      <c r="ML118" s="17"/>
      <c r="MM118" s="17"/>
      <c r="MN118" s="17"/>
      <c r="MO118" s="17"/>
      <c r="MP118" s="22">
        <v>1</v>
      </c>
      <c r="MQ118" s="22">
        <v>2</v>
      </c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22">
        <v>2</v>
      </c>
      <c r="NC118" s="17"/>
      <c r="ND118" s="17"/>
      <c r="NE118" s="17"/>
      <c r="NF118" s="17"/>
      <c r="NG118" s="17"/>
      <c r="NH118" s="17"/>
      <c r="NI118" s="17"/>
      <c r="NJ118" s="22">
        <v>2</v>
      </c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22">
        <v>2</v>
      </c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22">
        <v>2</v>
      </c>
      <c r="OS118" s="17"/>
      <c r="OT118" s="22">
        <v>1</v>
      </c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22">
        <v>1</v>
      </c>
      <c r="PJ118" s="17"/>
      <c r="PK118" s="17"/>
      <c r="PL118" s="22">
        <v>1</v>
      </c>
      <c r="PM118" s="17"/>
      <c r="PN118" s="22">
        <v>2</v>
      </c>
      <c r="PO118" s="17"/>
      <c r="PP118" s="17"/>
      <c r="PQ118" s="22">
        <v>2</v>
      </c>
      <c r="PR118" s="17"/>
      <c r="PS118" s="17"/>
      <c r="PT118" s="17"/>
      <c r="PU118" s="17"/>
      <c r="PV118" s="17"/>
      <c r="PW118" s="22" t="s">
        <v>506</v>
      </c>
      <c r="PX118" s="22" t="s">
        <v>506</v>
      </c>
      <c r="PY118" s="22" t="s">
        <v>506</v>
      </c>
      <c r="PZ118" s="22" t="s">
        <v>508</v>
      </c>
      <c r="QA118" s="22" t="s">
        <v>506</v>
      </c>
      <c r="QB118" s="22" t="s">
        <v>506</v>
      </c>
      <c r="QC118" s="22" t="s">
        <v>506</v>
      </c>
      <c r="QD118" s="22" t="s">
        <v>508</v>
      </c>
      <c r="QE118" s="22" t="s">
        <v>507</v>
      </c>
      <c r="QF118" s="22" t="s">
        <v>507</v>
      </c>
      <c r="QG118" s="22" t="s">
        <v>508</v>
      </c>
      <c r="QH118" s="22" t="s">
        <v>507</v>
      </c>
      <c r="QI118" s="22">
        <v>1</v>
      </c>
      <c r="QJ118" s="22">
        <v>1</v>
      </c>
      <c r="QK118" s="22">
        <v>0</v>
      </c>
      <c r="QL118" s="22">
        <v>1</v>
      </c>
      <c r="QM118" s="22">
        <v>1</v>
      </c>
      <c r="QN118" s="22">
        <v>1</v>
      </c>
      <c r="QO118" s="22">
        <v>1</v>
      </c>
      <c r="QP118" s="22">
        <v>1</v>
      </c>
      <c r="QQ118" s="22">
        <v>0</v>
      </c>
      <c r="QR118" s="22">
        <v>0</v>
      </c>
      <c r="QS118" s="22">
        <v>0</v>
      </c>
      <c r="QT118" s="22">
        <v>1</v>
      </c>
      <c r="QU118" s="22">
        <v>0</v>
      </c>
      <c r="QV118" s="22">
        <v>0</v>
      </c>
      <c r="QW118" s="22">
        <v>0</v>
      </c>
      <c r="QX118" s="22">
        <v>1</v>
      </c>
      <c r="QY118" s="17"/>
      <c r="QZ118" s="22">
        <v>1</v>
      </c>
      <c r="RA118" s="22">
        <v>0</v>
      </c>
      <c r="RB118" s="22">
        <v>1</v>
      </c>
      <c r="RC118" s="22">
        <v>0</v>
      </c>
      <c r="RD118" s="17"/>
      <c r="RE118" s="22">
        <v>0</v>
      </c>
      <c r="RF118" s="22">
        <v>0</v>
      </c>
      <c r="RG118" s="22">
        <v>0</v>
      </c>
      <c r="RH118" s="22">
        <v>1</v>
      </c>
      <c r="RI118" s="17"/>
      <c r="RJ118" s="22">
        <v>0</v>
      </c>
      <c r="RK118" s="22">
        <v>0</v>
      </c>
      <c r="RL118" s="22">
        <v>0</v>
      </c>
      <c r="RM118" s="22">
        <v>0</v>
      </c>
      <c r="RN118" s="22">
        <v>1</v>
      </c>
      <c r="RO118" s="22">
        <v>0</v>
      </c>
      <c r="RP118" s="22">
        <v>0</v>
      </c>
      <c r="RQ118" s="22">
        <v>0</v>
      </c>
      <c r="RR118" s="22">
        <v>0</v>
      </c>
      <c r="RS118" s="22">
        <v>0</v>
      </c>
      <c r="RT118" s="22">
        <v>1</v>
      </c>
      <c r="RU118" s="22">
        <v>0</v>
      </c>
      <c r="RV118" s="17"/>
      <c r="RW118" s="22">
        <v>1</v>
      </c>
      <c r="RX118" s="22">
        <v>1</v>
      </c>
      <c r="RY118" s="22">
        <v>1</v>
      </c>
      <c r="RZ118" s="17"/>
      <c r="SA118" s="22">
        <v>0</v>
      </c>
      <c r="SB118" s="22">
        <v>1</v>
      </c>
      <c r="SC118" s="22">
        <v>0</v>
      </c>
      <c r="SD118" s="22">
        <v>0</v>
      </c>
      <c r="SE118" s="22">
        <v>1</v>
      </c>
      <c r="SF118" s="22">
        <v>0</v>
      </c>
      <c r="SG118" s="22">
        <v>1</v>
      </c>
      <c r="SH118" s="22">
        <v>0</v>
      </c>
      <c r="SI118" s="22">
        <v>10120</v>
      </c>
      <c r="SJ118" s="19">
        <f t="shared" si="7"/>
        <v>67</v>
      </c>
      <c r="SK118" s="19">
        <f t="shared" si="8"/>
        <v>112</v>
      </c>
      <c r="SL118" s="19">
        <f t="shared" si="9"/>
        <v>45</v>
      </c>
      <c r="SM118" s="9">
        <v>10120</v>
      </c>
      <c r="SN118" s="9" t="s">
        <v>509</v>
      </c>
      <c r="SO118" s="10">
        <v>2</v>
      </c>
      <c r="SP118" s="9">
        <v>2</v>
      </c>
      <c r="SQ118" s="11" t="s">
        <v>515</v>
      </c>
      <c r="SR118" s="9">
        <v>18</v>
      </c>
      <c r="SS118" s="28">
        <v>66</v>
      </c>
      <c r="ST118" s="28">
        <v>16</v>
      </c>
      <c r="SU118" s="28">
        <v>72</v>
      </c>
      <c r="SV118" s="28">
        <v>8</v>
      </c>
      <c r="SW118" s="28">
        <v>15</v>
      </c>
      <c r="SX118" s="28">
        <v>19</v>
      </c>
      <c r="SY118" s="29">
        <v>25</v>
      </c>
      <c r="SZ118" s="30">
        <v>0</v>
      </c>
      <c r="TA118" s="31">
        <v>11</v>
      </c>
      <c r="TB118" s="31">
        <v>10</v>
      </c>
    </row>
    <row r="119" spans="1:522" ht="15.75" customHeight="1" x14ac:dyDescent="0.2">
      <c r="A119" s="22">
        <v>10121</v>
      </c>
      <c r="B119" s="22" t="s">
        <v>501</v>
      </c>
      <c r="C119" s="22" t="s">
        <v>502</v>
      </c>
      <c r="D119" s="22" t="s">
        <v>535</v>
      </c>
      <c r="E119" s="22" t="s">
        <v>504</v>
      </c>
      <c r="F119" s="23">
        <v>39440</v>
      </c>
      <c r="G119" s="23">
        <v>40021</v>
      </c>
      <c r="H119" s="14">
        <f t="shared" si="6"/>
        <v>19</v>
      </c>
      <c r="I119" s="22" t="s">
        <v>536</v>
      </c>
      <c r="J119" s="22">
        <v>1</v>
      </c>
      <c r="K119" s="22">
        <v>1</v>
      </c>
      <c r="L119" s="22">
        <v>1</v>
      </c>
      <c r="M119" s="22">
        <v>1</v>
      </c>
      <c r="N119" s="22">
        <v>1</v>
      </c>
      <c r="O119" s="17"/>
      <c r="P119" s="17"/>
      <c r="Q119" s="22">
        <v>1</v>
      </c>
      <c r="R119" s="22">
        <v>1</v>
      </c>
      <c r="S119" s="22">
        <v>1</v>
      </c>
      <c r="T119" s="22">
        <v>1</v>
      </c>
      <c r="U119" s="22">
        <v>1</v>
      </c>
      <c r="V119" s="17"/>
      <c r="W119" s="17"/>
      <c r="X119" s="17"/>
      <c r="Y119" s="22">
        <v>1</v>
      </c>
      <c r="Z119" s="17"/>
      <c r="AA119" s="17"/>
      <c r="AB119" s="22">
        <v>1</v>
      </c>
      <c r="AC119" s="17"/>
      <c r="AD119" s="17"/>
      <c r="AE119" s="22">
        <v>1</v>
      </c>
      <c r="AF119" s="22">
        <v>1</v>
      </c>
      <c r="AG119" s="17"/>
      <c r="AH119" s="17"/>
      <c r="AI119" s="17"/>
      <c r="AJ119" s="17"/>
      <c r="AK119" s="17"/>
      <c r="AL119" s="17"/>
      <c r="AM119" s="17"/>
      <c r="AN119" s="22">
        <v>1</v>
      </c>
      <c r="AO119" s="22" t="s">
        <v>508</v>
      </c>
      <c r="AP119" s="22" t="s">
        <v>507</v>
      </c>
      <c r="AQ119" s="17"/>
      <c r="AR119" s="22">
        <v>2</v>
      </c>
      <c r="AS119" s="17"/>
      <c r="AT119" s="22">
        <v>2</v>
      </c>
      <c r="AU119" s="22">
        <v>1</v>
      </c>
      <c r="AV119" s="22">
        <v>2</v>
      </c>
      <c r="AW119" s="22">
        <v>2</v>
      </c>
      <c r="AX119" s="22">
        <v>1</v>
      </c>
      <c r="AY119" s="22">
        <v>2</v>
      </c>
      <c r="AZ119" s="22">
        <v>2</v>
      </c>
      <c r="BA119" s="22">
        <v>1</v>
      </c>
      <c r="BB119" s="22">
        <v>2</v>
      </c>
      <c r="BC119" s="22">
        <v>1</v>
      </c>
      <c r="BD119" s="22">
        <v>1</v>
      </c>
      <c r="BE119" s="22">
        <v>1</v>
      </c>
      <c r="BF119" s="22">
        <v>2</v>
      </c>
      <c r="BG119" s="17"/>
      <c r="BH119" s="22">
        <v>1</v>
      </c>
      <c r="BI119" s="17"/>
      <c r="BJ119" s="22">
        <v>1</v>
      </c>
      <c r="BK119" s="22" t="s">
        <v>539</v>
      </c>
      <c r="BL119" s="22">
        <v>1</v>
      </c>
      <c r="BM119" s="17"/>
      <c r="BN119" s="22">
        <v>1</v>
      </c>
      <c r="BO119" s="17"/>
      <c r="BP119" s="22">
        <v>1</v>
      </c>
      <c r="BQ119" s="22">
        <v>1</v>
      </c>
      <c r="BR119" s="22">
        <v>2</v>
      </c>
      <c r="BS119" s="22">
        <v>1</v>
      </c>
      <c r="BT119" s="22">
        <v>1</v>
      </c>
      <c r="BU119" s="17"/>
      <c r="BV119" s="22">
        <v>1</v>
      </c>
      <c r="BW119" s="22">
        <v>1</v>
      </c>
      <c r="BX119" s="17"/>
      <c r="BY119" s="22">
        <v>1</v>
      </c>
      <c r="BZ119" s="22">
        <v>1</v>
      </c>
      <c r="CA119" s="17"/>
      <c r="CB119" s="17"/>
      <c r="CC119" s="17"/>
      <c r="CD119" s="22">
        <v>1</v>
      </c>
      <c r="CE119" s="17"/>
      <c r="CF119" s="22">
        <v>1</v>
      </c>
      <c r="CG119" s="17"/>
      <c r="CH119" s="22">
        <v>1</v>
      </c>
      <c r="CI119" s="17"/>
      <c r="CJ119" s="22">
        <v>1</v>
      </c>
      <c r="CK119" s="22">
        <v>1</v>
      </c>
      <c r="CL119" s="22">
        <v>1</v>
      </c>
      <c r="CM119" s="22">
        <v>1</v>
      </c>
      <c r="CN119" s="17"/>
      <c r="CO119" s="22">
        <v>1</v>
      </c>
      <c r="CP119" s="22">
        <v>1</v>
      </c>
      <c r="CQ119" s="22">
        <v>1</v>
      </c>
      <c r="CR119" s="17"/>
      <c r="CS119" s="22">
        <v>1</v>
      </c>
      <c r="CT119" s="22">
        <v>1</v>
      </c>
      <c r="CU119" s="22">
        <v>1</v>
      </c>
      <c r="CV119" s="22">
        <v>2</v>
      </c>
      <c r="CW119" s="17"/>
      <c r="CX119" s="17"/>
      <c r="CY119" s="22">
        <v>1</v>
      </c>
      <c r="CZ119" s="22">
        <v>1</v>
      </c>
      <c r="DA119" s="17"/>
      <c r="DB119" s="17"/>
      <c r="DC119" s="22">
        <v>1</v>
      </c>
      <c r="DD119" s="17"/>
      <c r="DE119" s="22">
        <v>1</v>
      </c>
      <c r="DF119" s="22">
        <v>1</v>
      </c>
      <c r="DG119" s="17"/>
      <c r="DH119" s="17"/>
      <c r="DI119" s="17"/>
      <c r="DJ119" s="17"/>
      <c r="DK119" s="17"/>
      <c r="DL119" s="17"/>
      <c r="DM119" s="22">
        <v>1</v>
      </c>
      <c r="DN119" s="22">
        <v>1</v>
      </c>
      <c r="DO119" s="17"/>
      <c r="DP119" s="22">
        <v>1</v>
      </c>
      <c r="DQ119" s="22">
        <v>1</v>
      </c>
      <c r="DR119" s="22">
        <v>1</v>
      </c>
      <c r="DS119" s="17"/>
      <c r="DT119" s="17"/>
      <c r="DU119" s="22">
        <v>1</v>
      </c>
      <c r="DV119" s="17"/>
      <c r="DW119" s="17"/>
      <c r="DX119" s="17"/>
      <c r="DY119" s="22">
        <v>1</v>
      </c>
      <c r="DZ119" s="17"/>
      <c r="EA119" s="17"/>
      <c r="EB119" s="17"/>
      <c r="EC119" s="17"/>
      <c r="ED119" s="22">
        <v>1</v>
      </c>
      <c r="EE119" s="17"/>
      <c r="EF119" s="17"/>
      <c r="EG119" s="22">
        <v>1</v>
      </c>
      <c r="EH119" s="17"/>
      <c r="EI119" s="22">
        <v>1</v>
      </c>
      <c r="EJ119" s="17"/>
      <c r="EK119" s="17"/>
      <c r="EL119" s="17"/>
      <c r="EM119" s="22">
        <v>1</v>
      </c>
      <c r="EN119" s="17"/>
      <c r="EO119" s="22">
        <v>1</v>
      </c>
      <c r="EP119" s="22">
        <v>1</v>
      </c>
      <c r="EQ119" s="17"/>
      <c r="ER119" s="17"/>
      <c r="ES119" s="17"/>
      <c r="ET119" s="22">
        <v>1</v>
      </c>
      <c r="EU119" s="22">
        <v>1</v>
      </c>
      <c r="EV119" s="22">
        <v>2</v>
      </c>
      <c r="EW119" s="17"/>
      <c r="EX119" s="22">
        <v>1</v>
      </c>
      <c r="EY119" s="17"/>
      <c r="EZ119" s="17"/>
      <c r="FA119" s="17"/>
      <c r="FB119" s="22">
        <v>1</v>
      </c>
      <c r="FC119" s="17"/>
      <c r="FD119" s="22">
        <v>1</v>
      </c>
      <c r="FE119" s="17"/>
      <c r="FF119" s="17"/>
      <c r="FG119" s="22">
        <v>1</v>
      </c>
      <c r="FH119" s="17"/>
      <c r="FI119" s="17"/>
      <c r="FJ119" s="17"/>
      <c r="FK119" s="17"/>
      <c r="FL119" s="17"/>
      <c r="FM119" s="17"/>
      <c r="FN119" s="22">
        <v>1</v>
      </c>
      <c r="FO119" s="22">
        <v>1</v>
      </c>
      <c r="FP119" s="22">
        <v>1</v>
      </c>
      <c r="FQ119" s="17"/>
      <c r="FR119" s="17"/>
      <c r="FS119" s="17"/>
      <c r="FT119" s="22">
        <v>1</v>
      </c>
      <c r="FU119" s="22">
        <v>1</v>
      </c>
      <c r="FV119" s="22">
        <v>1</v>
      </c>
      <c r="FW119" s="17"/>
      <c r="FX119" s="22">
        <v>1</v>
      </c>
      <c r="FY119" s="22">
        <v>1</v>
      </c>
      <c r="FZ119" s="17"/>
      <c r="GA119" s="17"/>
      <c r="GB119" s="22">
        <v>1</v>
      </c>
      <c r="GC119" s="17"/>
      <c r="GD119" s="22">
        <v>1</v>
      </c>
      <c r="GE119" s="17"/>
      <c r="GF119" s="22">
        <v>1</v>
      </c>
      <c r="GG119" s="17"/>
      <c r="GH119" s="22">
        <v>1</v>
      </c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22">
        <v>1</v>
      </c>
      <c r="GY119" s="22">
        <v>1</v>
      </c>
      <c r="GZ119" s="22">
        <v>1</v>
      </c>
      <c r="HA119" s="22">
        <v>1</v>
      </c>
      <c r="HB119" s="22">
        <v>1</v>
      </c>
      <c r="HC119" s="22">
        <v>1</v>
      </c>
      <c r="HD119" s="17"/>
      <c r="HE119" s="22">
        <v>1</v>
      </c>
      <c r="HF119" s="22">
        <v>1</v>
      </c>
      <c r="HG119" s="22">
        <v>1</v>
      </c>
      <c r="HH119" s="22">
        <v>1</v>
      </c>
      <c r="HI119" s="22">
        <v>1</v>
      </c>
      <c r="HJ119" s="17"/>
      <c r="HK119" s="17"/>
      <c r="HL119" s="17"/>
      <c r="HM119" s="17"/>
      <c r="HN119" s="22">
        <v>2</v>
      </c>
      <c r="HO119" s="17"/>
      <c r="HP119" s="22">
        <v>1</v>
      </c>
      <c r="HQ119" s="22">
        <v>1</v>
      </c>
      <c r="HR119" s="17"/>
      <c r="HS119" s="17"/>
      <c r="HT119" s="17"/>
      <c r="HU119" s="17"/>
      <c r="HV119" s="17"/>
      <c r="HW119" s="17"/>
      <c r="HX119" s="17"/>
      <c r="HY119" s="17"/>
      <c r="HZ119" s="22">
        <v>1</v>
      </c>
      <c r="IA119" s="22">
        <v>1</v>
      </c>
      <c r="IB119" s="17"/>
      <c r="IC119" s="22">
        <v>1</v>
      </c>
      <c r="ID119" s="17"/>
      <c r="IE119" s="17"/>
      <c r="IF119" s="22">
        <v>1</v>
      </c>
      <c r="IG119" s="17"/>
      <c r="IH119" s="17"/>
      <c r="II119" s="17"/>
      <c r="IJ119" s="22">
        <v>1</v>
      </c>
      <c r="IK119" s="22">
        <v>1</v>
      </c>
      <c r="IL119" s="22">
        <v>1</v>
      </c>
      <c r="IM119" s="17"/>
      <c r="IN119" s="17"/>
      <c r="IO119" s="17"/>
      <c r="IP119" s="22">
        <v>1</v>
      </c>
      <c r="IQ119" s="22">
        <v>1</v>
      </c>
      <c r="IR119" s="17"/>
      <c r="IS119" s="17"/>
      <c r="IT119" s="22">
        <v>1</v>
      </c>
      <c r="IU119" s="17"/>
      <c r="IV119" s="17"/>
      <c r="IW119" s="17"/>
      <c r="IX119" s="17"/>
      <c r="IY119" s="17"/>
      <c r="IZ119" s="22">
        <v>1</v>
      </c>
      <c r="JA119" s="17"/>
      <c r="JB119" s="17"/>
      <c r="JC119" s="17"/>
      <c r="JD119" s="17"/>
      <c r="JE119" s="22">
        <v>1</v>
      </c>
      <c r="JF119" s="17"/>
      <c r="JG119" s="22">
        <v>1</v>
      </c>
      <c r="JH119" s="22">
        <v>1</v>
      </c>
      <c r="JI119" s="22">
        <v>1</v>
      </c>
      <c r="JJ119" s="17"/>
      <c r="JK119" s="22">
        <v>2</v>
      </c>
      <c r="JL119" s="22">
        <v>1</v>
      </c>
      <c r="JM119" s="22">
        <v>1</v>
      </c>
      <c r="JN119" s="22">
        <v>1</v>
      </c>
      <c r="JO119" s="17"/>
      <c r="JP119" s="22">
        <v>1</v>
      </c>
      <c r="JQ119" s="22">
        <v>2</v>
      </c>
      <c r="JR119" s="22">
        <v>1</v>
      </c>
      <c r="JS119" s="22">
        <v>1</v>
      </c>
      <c r="JT119" s="17"/>
      <c r="JU119" s="17"/>
      <c r="JV119" s="17"/>
      <c r="JW119" s="17"/>
      <c r="JX119" s="22">
        <v>1</v>
      </c>
      <c r="JY119" s="22">
        <v>1</v>
      </c>
      <c r="JZ119" s="22">
        <v>2</v>
      </c>
      <c r="KA119" s="17"/>
      <c r="KB119" s="17"/>
      <c r="KC119" s="17"/>
      <c r="KD119" s="22">
        <v>2</v>
      </c>
      <c r="KE119" s="22">
        <v>1</v>
      </c>
      <c r="KF119" s="22">
        <v>1</v>
      </c>
      <c r="KG119" s="22">
        <v>1</v>
      </c>
      <c r="KH119" s="22">
        <v>2</v>
      </c>
      <c r="KI119" s="17"/>
      <c r="KJ119" s="22">
        <v>1</v>
      </c>
      <c r="KK119" s="22">
        <v>1</v>
      </c>
      <c r="KL119" s="22">
        <v>2</v>
      </c>
      <c r="KM119" s="22">
        <v>1</v>
      </c>
      <c r="KN119" s="17"/>
      <c r="KO119" s="22">
        <v>1</v>
      </c>
      <c r="KP119" s="22">
        <v>1</v>
      </c>
      <c r="KQ119" s="22">
        <v>1</v>
      </c>
      <c r="KR119" s="22">
        <v>1</v>
      </c>
      <c r="KS119" s="17"/>
      <c r="KT119" s="22">
        <v>1</v>
      </c>
      <c r="KU119" s="17"/>
      <c r="KV119" s="17"/>
      <c r="KW119" s="22">
        <v>1</v>
      </c>
      <c r="KX119" s="22">
        <v>1</v>
      </c>
      <c r="KY119" s="17"/>
      <c r="KZ119" s="17"/>
      <c r="LA119" s="22">
        <v>1</v>
      </c>
      <c r="LB119" s="17"/>
      <c r="LC119" s="22">
        <v>1</v>
      </c>
      <c r="LD119" s="22">
        <v>1</v>
      </c>
      <c r="LE119" s="17"/>
      <c r="LF119" s="17"/>
      <c r="LG119" s="22">
        <v>1</v>
      </c>
      <c r="LH119" s="22">
        <v>1</v>
      </c>
      <c r="LI119" s="22">
        <v>1</v>
      </c>
      <c r="LJ119" s="17"/>
      <c r="LK119" s="22">
        <v>1</v>
      </c>
      <c r="LL119" s="17"/>
      <c r="LM119" s="17"/>
      <c r="LN119" s="17"/>
      <c r="LO119" s="22">
        <v>1</v>
      </c>
      <c r="LP119" s="17"/>
      <c r="LQ119" s="17"/>
      <c r="LR119" s="17"/>
      <c r="LS119" s="17"/>
      <c r="LT119" s="22">
        <v>1</v>
      </c>
      <c r="LU119" s="17"/>
      <c r="LV119" s="17"/>
      <c r="LW119" s="22">
        <v>1</v>
      </c>
      <c r="LX119" s="22">
        <v>1</v>
      </c>
      <c r="LY119" s="22">
        <v>1</v>
      </c>
      <c r="LZ119" s="17"/>
      <c r="MA119" s="17"/>
      <c r="MB119" s="22">
        <v>1</v>
      </c>
      <c r="MC119" s="22">
        <v>1</v>
      </c>
      <c r="MD119" s="17"/>
      <c r="ME119" s="22">
        <v>1</v>
      </c>
      <c r="MF119" s="17"/>
      <c r="MG119" s="22">
        <v>1</v>
      </c>
      <c r="MH119" s="17"/>
      <c r="MI119" s="22">
        <v>1</v>
      </c>
      <c r="MJ119" s="22">
        <v>1</v>
      </c>
      <c r="MK119" s="17"/>
      <c r="ML119" s="22">
        <v>1</v>
      </c>
      <c r="MM119" s="22">
        <v>1</v>
      </c>
      <c r="MN119" s="22">
        <v>1</v>
      </c>
      <c r="MO119" s="17"/>
      <c r="MP119" s="17"/>
      <c r="MQ119" s="22">
        <v>1</v>
      </c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22">
        <v>2</v>
      </c>
      <c r="NC119" s="22">
        <v>1</v>
      </c>
      <c r="ND119" s="17"/>
      <c r="NE119" s="22">
        <v>1</v>
      </c>
      <c r="NF119" s="22">
        <v>1</v>
      </c>
      <c r="NG119" s="22">
        <v>1</v>
      </c>
      <c r="NH119" s="17"/>
      <c r="NI119" s="17"/>
      <c r="NJ119" s="17"/>
      <c r="NK119" s="17"/>
      <c r="NL119" s="17"/>
      <c r="NM119" s="22">
        <v>1</v>
      </c>
      <c r="NN119" s="17"/>
      <c r="NO119" s="17"/>
      <c r="NP119" s="17"/>
      <c r="NQ119" s="17"/>
      <c r="NR119" s="17"/>
      <c r="NS119" s="17"/>
      <c r="NT119" s="22">
        <v>1</v>
      </c>
      <c r="NU119" s="17"/>
      <c r="NV119" s="17"/>
      <c r="NW119" s="22">
        <v>1</v>
      </c>
      <c r="NX119" s="22">
        <v>1</v>
      </c>
      <c r="NY119" s="17"/>
      <c r="NZ119" s="17"/>
      <c r="OA119" s="17"/>
      <c r="OB119" s="17"/>
      <c r="OC119" s="17"/>
      <c r="OD119" s="22">
        <v>1</v>
      </c>
      <c r="OE119" s="17"/>
      <c r="OF119" s="17"/>
      <c r="OG119" s="22">
        <v>1</v>
      </c>
      <c r="OH119" s="17"/>
      <c r="OI119" s="17"/>
      <c r="OJ119" s="22">
        <v>1</v>
      </c>
      <c r="OK119" s="17"/>
      <c r="OL119" s="22">
        <v>1</v>
      </c>
      <c r="OM119" s="17"/>
      <c r="ON119" s="17"/>
      <c r="OO119" s="17"/>
      <c r="OP119" s="17"/>
      <c r="OQ119" s="17"/>
      <c r="OR119" s="22">
        <v>1</v>
      </c>
      <c r="OS119" s="17"/>
      <c r="OT119" s="22">
        <v>2</v>
      </c>
      <c r="OU119" s="22">
        <v>2</v>
      </c>
      <c r="OV119" s="17"/>
      <c r="OW119" s="22">
        <v>1</v>
      </c>
      <c r="OX119" s="17"/>
      <c r="OY119" s="22">
        <v>1</v>
      </c>
      <c r="OZ119" s="17"/>
      <c r="PA119" s="22">
        <v>1</v>
      </c>
      <c r="PB119" s="17"/>
      <c r="PC119" s="17"/>
      <c r="PD119" s="17"/>
      <c r="PE119" s="17"/>
      <c r="PF119" s="22">
        <v>2</v>
      </c>
      <c r="PG119" s="17"/>
      <c r="PH119" s="22">
        <v>1</v>
      </c>
      <c r="PI119" s="22">
        <v>1</v>
      </c>
      <c r="PJ119" s="22">
        <v>1</v>
      </c>
      <c r="PK119" s="17"/>
      <c r="PL119" s="22">
        <v>1</v>
      </c>
      <c r="PM119" s="22">
        <v>1</v>
      </c>
      <c r="PN119" s="22">
        <v>1</v>
      </c>
      <c r="PO119" s="17"/>
      <c r="PP119" s="22">
        <v>1</v>
      </c>
      <c r="PQ119" s="22">
        <v>2</v>
      </c>
      <c r="PR119" s="17"/>
      <c r="PS119" s="17"/>
      <c r="PT119" s="17"/>
      <c r="PU119" s="17"/>
      <c r="PV119" s="22">
        <v>1</v>
      </c>
      <c r="PW119" s="17"/>
      <c r="PX119" s="22" t="s">
        <v>506</v>
      </c>
      <c r="PY119" s="22" t="s">
        <v>506</v>
      </c>
      <c r="PZ119" s="22" t="s">
        <v>506</v>
      </c>
      <c r="QA119" s="22" t="s">
        <v>506</v>
      </c>
      <c r="QB119" s="22" t="s">
        <v>506</v>
      </c>
      <c r="QC119" s="22" t="s">
        <v>506</v>
      </c>
      <c r="QD119" s="22" t="s">
        <v>506</v>
      </c>
      <c r="QE119" s="22" t="s">
        <v>507</v>
      </c>
      <c r="QF119" s="22" t="s">
        <v>508</v>
      </c>
      <c r="QG119" s="22" t="s">
        <v>506</v>
      </c>
      <c r="QH119" s="22" t="s">
        <v>508</v>
      </c>
      <c r="QI119" s="22">
        <v>1</v>
      </c>
      <c r="QJ119" s="22">
        <v>0</v>
      </c>
      <c r="QK119" s="22">
        <v>0</v>
      </c>
      <c r="QL119" s="22">
        <v>1</v>
      </c>
      <c r="QM119" s="22">
        <v>0</v>
      </c>
      <c r="QN119" s="22">
        <v>1</v>
      </c>
      <c r="QO119" s="22">
        <v>1</v>
      </c>
      <c r="QP119" s="22">
        <v>1</v>
      </c>
      <c r="QQ119" s="22">
        <v>1</v>
      </c>
      <c r="QR119" s="22">
        <v>1</v>
      </c>
      <c r="QS119" s="22">
        <v>1</v>
      </c>
      <c r="QT119" s="22">
        <v>1</v>
      </c>
      <c r="QU119" s="22">
        <v>1</v>
      </c>
      <c r="QV119" s="22">
        <v>0</v>
      </c>
      <c r="QW119" s="22">
        <v>1</v>
      </c>
      <c r="QX119" s="22">
        <v>1</v>
      </c>
      <c r="QY119" s="22">
        <v>1</v>
      </c>
      <c r="QZ119" s="22">
        <v>1</v>
      </c>
      <c r="RA119" s="22">
        <v>0</v>
      </c>
      <c r="RB119" s="22">
        <v>1</v>
      </c>
      <c r="RC119" s="22">
        <v>1</v>
      </c>
      <c r="RD119" s="22">
        <v>1</v>
      </c>
      <c r="RE119" s="22">
        <v>1</v>
      </c>
      <c r="RF119" s="22">
        <v>1</v>
      </c>
      <c r="RG119" s="22">
        <v>1</v>
      </c>
      <c r="RH119" s="22">
        <v>0</v>
      </c>
      <c r="RI119" s="22">
        <v>0</v>
      </c>
      <c r="RJ119" s="22">
        <v>0</v>
      </c>
      <c r="RK119" s="22">
        <v>1</v>
      </c>
      <c r="RL119" s="22">
        <v>1</v>
      </c>
      <c r="RM119" s="22">
        <v>0</v>
      </c>
      <c r="RN119" s="22">
        <v>0</v>
      </c>
      <c r="RO119" s="22">
        <v>0</v>
      </c>
      <c r="RP119" s="22">
        <v>0</v>
      </c>
      <c r="RQ119" s="22">
        <v>0</v>
      </c>
      <c r="RR119" s="22">
        <v>0</v>
      </c>
      <c r="RS119" s="22">
        <v>1</v>
      </c>
      <c r="RT119" s="22">
        <v>1</v>
      </c>
      <c r="RU119" s="22">
        <v>1</v>
      </c>
      <c r="RV119" s="22">
        <v>0</v>
      </c>
      <c r="RW119" s="22">
        <v>1</v>
      </c>
      <c r="RX119" s="22">
        <v>1</v>
      </c>
      <c r="RY119" s="22">
        <v>1</v>
      </c>
      <c r="RZ119" s="22">
        <v>1</v>
      </c>
      <c r="SA119" s="22">
        <v>1</v>
      </c>
      <c r="SB119" s="22">
        <v>1</v>
      </c>
      <c r="SC119" s="22">
        <v>0</v>
      </c>
      <c r="SD119" s="22">
        <v>1</v>
      </c>
      <c r="SE119" s="22">
        <v>1</v>
      </c>
      <c r="SF119" s="22">
        <v>1</v>
      </c>
      <c r="SG119" s="22">
        <v>1</v>
      </c>
      <c r="SH119" s="22">
        <v>1</v>
      </c>
      <c r="SI119" s="22">
        <v>10121</v>
      </c>
      <c r="SJ119" s="19">
        <f t="shared" si="7"/>
        <v>162</v>
      </c>
      <c r="SK119" s="19">
        <f t="shared" si="8"/>
        <v>185</v>
      </c>
      <c r="SL119" s="19">
        <f t="shared" si="9"/>
        <v>23</v>
      </c>
      <c r="SM119" s="9">
        <v>10121</v>
      </c>
      <c r="SN119" s="9" t="s">
        <v>504</v>
      </c>
      <c r="SO119" s="10">
        <v>2</v>
      </c>
      <c r="SP119" s="9">
        <v>2</v>
      </c>
      <c r="SQ119" s="11" t="s">
        <v>551</v>
      </c>
      <c r="SR119" s="9">
        <v>18</v>
      </c>
      <c r="SS119" s="28">
        <v>66</v>
      </c>
      <c r="ST119" s="28">
        <v>16</v>
      </c>
      <c r="SU119" s="28">
        <v>146</v>
      </c>
      <c r="SV119" s="28">
        <v>24</v>
      </c>
      <c r="SW119" s="28">
        <v>16</v>
      </c>
      <c r="SX119" s="28">
        <v>17</v>
      </c>
      <c r="SY119" s="29">
        <v>33</v>
      </c>
      <c r="SZ119" s="30">
        <v>13</v>
      </c>
      <c r="TA119" s="31">
        <v>11</v>
      </c>
      <c r="TB119" s="31">
        <v>9</v>
      </c>
    </row>
    <row r="120" spans="1:522" ht="15.75" customHeight="1" x14ac:dyDescent="0.2">
      <c r="A120" s="22">
        <v>10122</v>
      </c>
      <c r="B120" s="22" t="s">
        <v>501</v>
      </c>
      <c r="C120" s="22" t="s">
        <v>502</v>
      </c>
      <c r="D120" s="22" t="s">
        <v>535</v>
      </c>
      <c r="E120" s="22" t="s">
        <v>509</v>
      </c>
      <c r="F120" s="23">
        <v>39459</v>
      </c>
      <c r="G120" s="23">
        <v>40013</v>
      </c>
      <c r="H120" s="14">
        <f t="shared" si="6"/>
        <v>18</v>
      </c>
      <c r="I120" s="22" t="s">
        <v>537</v>
      </c>
      <c r="J120" s="22">
        <v>1</v>
      </c>
      <c r="K120" s="22">
        <v>1</v>
      </c>
      <c r="L120" s="22">
        <v>1</v>
      </c>
      <c r="M120" s="22">
        <v>1</v>
      </c>
      <c r="N120" s="22">
        <v>1</v>
      </c>
      <c r="O120" s="17"/>
      <c r="P120" s="17"/>
      <c r="Q120" s="22">
        <v>1</v>
      </c>
      <c r="R120" s="22">
        <v>1</v>
      </c>
      <c r="S120" s="22">
        <v>1</v>
      </c>
      <c r="T120" s="22">
        <v>1</v>
      </c>
      <c r="U120" s="22">
        <v>1</v>
      </c>
      <c r="V120" s="17"/>
      <c r="W120" s="17"/>
      <c r="X120" s="17"/>
      <c r="Y120" s="22">
        <v>1</v>
      </c>
      <c r="Z120" s="22">
        <v>1</v>
      </c>
      <c r="AA120" s="22">
        <v>1</v>
      </c>
      <c r="AB120" s="22">
        <v>1</v>
      </c>
      <c r="AC120" s="22">
        <v>1</v>
      </c>
      <c r="AD120" s="17"/>
      <c r="AE120" s="22">
        <v>1</v>
      </c>
      <c r="AF120" s="17"/>
      <c r="AG120" s="17"/>
      <c r="AH120" s="22">
        <v>1</v>
      </c>
      <c r="AI120" s="17"/>
      <c r="AJ120" s="17"/>
      <c r="AK120" s="17"/>
      <c r="AL120" s="22">
        <v>1</v>
      </c>
      <c r="AM120" s="17"/>
      <c r="AN120" s="17"/>
      <c r="AO120" s="22" t="s">
        <v>507</v>
      </c>
      <c r="AP120" s="22" t="s">
        <v>507</v>
      </c>
      <c r="AQ120" s="17"/>
      <c r="AR120" s="17"/>
      <c r="AS120" s="17"/>
      <c r="AT120" s="17"/>
      <c r="AU120" s="17"/>
      <c r="AV120" s="17"/>
      <c r="AW120" s="17"/>
      <c r="AX120" s="17"/>
      <c r="AY120" s="22">
        <v>2</v>
      </c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22">
        <v>2</v>
      </c>
      <c r="BM120" s="17"/>
      <c r="BN120" s="17"/>
      <c r="BO120" s="17"/>
      <c r="BP120" s="22">
        <v>2</v>
      </c>
      <c r="BQ120" s="17"/>
      <c r="BR120" s="17"/>
      <c r="BS120" s="17"/>
      <c r="BT120" s="17"/>
      <c r="BU120" s="17"/>
      <c r="BV120" s="22">
        <v>2</v>
      </c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22">
        <v>2</v>
      </c>
      <c r="CW120" s="17"/>
      <c r="CX120" s="17"/>
      <c r="CY120" s="22">
        <v>2</v>
      </c>
      <c r="CZ120" s="22">
        <v>2</v>
      </c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22">
        <v>2</v>
      </c>
      <c r="EH120" s="17"/>
      <c r="EI120" s="17"/>
      <c r="EJ120" s="17"/>
      <c r="EK120" s="17"/>
      <c r="EL120" s="17"/>
      <c r="EM120" s="22">
        <v>1</v>
      </c>
      <c r="EN120" s="17"/>
      <c r="EO120" s="22">
        <v>2</v>
      </c>
      <c r="EP120" s="17"/>
      <c r="EQ120" s="17"/>
      <c r="ER120" s="17"/>
      <c r="ES120" s="17"/>
      <c r="ET120" s="17"/>
      <c r="EU120" s="17"/>
      <c r="EV120" s="22">
        <v>2</v>
      </c>
      <c r="EW120" s="17"/>
      <c r="EX120" s="22">
        <v>1</v>
      </c>
      <c r="EY120" s="17"/>
      <c r="EZ120" s="17"/>
      <c r="FA120" s="17"/>
      <c r="FB120" s="17"/>
      <c r="FC120" s="17"/>
      <c r="FD120" s="17"/>
      <c r="FE120" s="22">
        <v>1</v>
      </c>
      <c r="FF120" s="17"/>
      <c r="FG120" s="22">
        <v>1</v>
      </c>
      <c r="FH120" s="17"/>
      <c r="FI120" s="22">
        <v>1</v>
      </c>
      <c r="FJ120" s="22">
        <v>1</v>
      </c>
      <c r="FK120" s="17"/>
      <c r="FL120" s="17"/>
      <c r="FM120" s="22">
        <v>1</v>
      </c>
      <c r="FN120" s="17"/>
      <c r="FO120" s="22">
        <v>1</v>
      </c>
      <c r="FP120" s="17"/>
      <c r="FQ120" s="22">
        <v>1</v>
      </c>
      <c r="FR120" s="17"/>
      <c r="FS120" s="17"/>
      <c r="FT120" s="17"/>
      <c r="FU120" s="17"/>
      <c r="FV120" s="22">
        <v>2</v>
      </c>
      <c r="FW120" s="17"/>
      <c r="FX120" s="17"/>
      <c r="FY120" s="17"/>
      <c r="FZ120" s="17"/>
      <c r="GA120" s="17"/>
      <c r="GB120" s="17"/>
      <c r="GC120" s="22">
        <v>2</v>
      </c>
      <c r="GD120" s="17"/>
      <c r="GE120" s="22">
        <v>1</v>
      </c>
      <c r="GF120" s="17"/>
      <c r="GG120" s="17"/>
      <c r="GH120" s="17"/>
      <c r="GI120" s="22">
        <v>1</v>
      </c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  <c r="IT120" s="17"/>
      <c r="IU120" s="17"/>
      <c r="IV120" s="17"/>
      <c r="IW120" s="17"/>
      <c r="IX120" s="17"/>
      <c r="IY120" s="17"/>
      <c r="IZ120" s="17"/>
      <c r="JA120" s="17"/>
      <c r="JB120" s="17"/>
      <c r="JC120" s="17"/>
      <c r="JD120" s="17"/>
      <c r="JE120" s="22">
        <v>2</v>
      </c>
      <c r="JF120" s="17"/>
      <c r="JG120" s="17"/>
      <c r="JH120" s="17"/>
      <c r="JI120" s="17"/>
      <c r="JJ120" s="17"/>
      <c r="JK120" s="22">
        <v>2</v>
      </c>
      <c r="JL120" s="17"/>
      <c r="JM120" s="17"/>
      <c r="JN120" s="22">
        <v>2</v>
      </c>
      <c r="JO120" s="17"/>
      <c r="JP120" s="17"/>
      <c r="JQ120" s="22">
        <v>2</v>
      </c>
      <c r="JR120" s="17"/>
      <c r="JS120" s="17"/>
      <c r="JT120" s="17"/>
      <c r="JU120" s="17"/>
      <c r="JV120" s="17"/>
      <c r="JW120" s="17"/>
      <c r="JX120" s="22">
        <v>2</v>
      </c>
      <c r="JY120" s="17"/>
      <c r="JZ120" s="22">
        <v>2</v>
      </c>
      <c r="KA120" s="17"/>
      <c r="KB120" s="17"/>
      <c r="KC120" s="17"/>
      <c r="KD120" s="22">
        <v>2</v>
      </c>
      <c r="KE120" s="17"/>
      <c r="KF120" s="17"/>
      <c r="KG120" s="17"/>
      <c r="KH120" s="22">
        <v>2</v>
      </c>
      <c r="KI120" s="17"/>
      <c r="KJ120" s="17"/>
      <c r="KK120" s="17"/>
      <c r="KL120" s="17"/>
      <c r="KM120" s="17"/>
      <c r="KN120" s="17"/>
      <c r="KO120" s="17"/>
      <c r="KP120" s="22">
        <v>2</v>
      </c>
      <c r="KQ120" s="17"/>
      <c r="KR120" s="17"/>
      <c r="KS120" s="17"/>
      <c r="KT120" s="17"/>
      <c r="KU120" s="17"/>
      <c r="KV120" s="17"/>
      <c r="KW120" s="17"/>
      <c r="KX120" s="17"/>
      <c r="KY120" s="17"/>
      <c r="KZ120" s="17"/>
      <c r="LA120" s="17"/>
      <c r="LB120" s="17"/>
      <c r="LC120" s="17"/>
      <c r="LD120" s="17"/>
      <c r="LE120" s="17"/>
      <c r="LF120" s="17"/>
      <c r="LG120" s="17"/>
      <c r="LH120" s="17"/>
      <c r="LI120" s="22">
        <v>2</v>
      </c>
      <c r="LJ120" s="17"/>
      <c r="LK120" s="17"/>
      <c r="LL120" s="17"/>
      <c r="LM120" s="17"/>
      <c r="LN120" s="17"/>
      <c r="LO120" s="17"/>
      <c r="LP120" s="17"/>
      <c r="LQ120" s="17"/>
      <c r="LR120" s="17"/>
      <c r="LS120" s="17"/>
      <c r="LT120" s="17"/>
      <c r="LU120" s="17"/>
      <c r="LV120" s="17"/>
      <c r="LW120" s="17"/>
      <c r="LX120" s="17"/>
      <c r="LY120" s="17"/>
      <c r="LZ120" s="17"/>
      <c r="MA120" s="17"/>
      <c r="MB120" s="17"/>
      <c r="MC120" s="17"/>
      <c r="MD120" s="17"/>
      <c r="ME120" s="17"/>
      <c r="MF120" s="17"/>
      <c r="MG120" s="17"/>
      <c r="MH120" s="17"/>
      <c r="MI120" s="17"/>
      <c r="MJ120" s="17"/>
      <c r="MK120" s="17"/>
      <c r="ML120" s="17"/>
      <c r="MM120" s="17"/>
      <c r="MN120" s="17"/>
      <c r="MO120" s="17"/>
      <c r="MP120" s="17"/>
      <c r="MQ120" s="17"/>
      <c r="MR120" s="17"/>
      <c r="MS120" s="17"/>
      <c r="MT120" s="17"/>
      <c r="MU120" s="17"/>
      <c r="MV120" s="17"/>
      <c r="MW120" s="17"/>
      <c r="MX120" s="17"/>
      <c r="MY120" s="17"/>
      <c r="MZ120" s="17"/>
      <c r="NA120" s="17"/>
      <c r="NB120" s="22">
        <v>1</v>
      </c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  <c r="NX120" s="17"/>
      <c r="NY120" s="17"/>
      <c r="NZ120" s="17"/>
      <c r="OA120" s="17"/>
      <c r="OB120" s="17"/>
      <c r="OC120" s="17"/>
      <c r="OD120" s="17"/>
      <c r="OE120" s="17"/>
      <c r="OF120" s="17"/>
      <c r="OG120" s="17"/>
      <c r="OH120" s="17"/>
      <c r="OI120" s="17"/>
      <c r="OJ120" s="17"/>
      <c r="OK120" s="17"/>
      <c r="OL120" s="17"/>
      <c r="OM120" s="17"/>
      <c r="ON120" s="17"/>
      <c r="OO120" s="17"/>
      <c r="OP120" s="17"/>
      <c r="OQ120" s="17"/>
      <c r="OR120" s="17"/>
      <c r="OS120" s="17"/>
      <c r="OT120" s="17"/>
      <c r="OU120" s="17"/>
      <c r="OV120" s="17"/>
      <c r="OW120" s="17"/>
      <c r="OX120" s="17"/>
      <c r="OY120" s="17"/>
      <c r="OZ120" s="17"/>
      <c r="PA120" s="17"/>
      <c r="PB120" s="17"/>
      <c r="PC120" s="17"/>
      <c r="PD120" s="17"/>
      <c r="PE120" s="17"/>
      <c r="PF120" s="17"/>
      <c r="PG120" s="17"/>
      <c r="PH120" s="17"/>
      <c r="PI120" s="17"/>
      <c r="PJ120" s="17"/>
      <c r="PK120" s="17"/>
      <c r="PL120" s="17"/>
      <c r="PM120" s="17"/>
      <c r="PN120" s="17"/>
      <c r="PO120" s="17"/>
      <c r="PP120" s="17"/>
      <c r="PQ120" s="17"/>
      <c r="PR120" s="17"/>
      <c r="PS120" s="17"/>
      <c r="PT120" s="17"/>
      <c r="PU120" s="17"/>
      <c r="PV120" s="17"/>
      <c r="PW120" s="22" t="s">
        <v>506</v>
      </c>
      <c r="PX120" s="22" t="s">
        <v>506</v>
      </c>
      <c r="PY120" s="22" t="s">
        <v>506</v>
      </c>
      <c r="PZ120" s="22" t="s">
        <v>506</v>
      </c>
      <c r="QA120" s="22" t="s">
        <v>506</v>
      </c>
      <c r="QB120" s="22" t="s">
        <v>506</v>
      </c>
      <c r="QC120" s="22" t="s">
        <v>506</v>
      </c>
      <c r="QD120" s="22" t="s">
        <v>508</v>
      </c>
      <c r="QE120" s="22" t="s">
        <v>506</v>
      </c>
      <c r="QF120" s="22" t="s">
        <v>506</v>
      </c>
      <c r="QG120" s="22" t="s">
        <v>506</v>
      </c>
      <c r="QH120" s="22" t="s">
        <v>506</v>
      </c>
      <c r="QI120" s="22">
        <v>1</v>
      </c>
      <c r="QJ120" s="22">
        <v>1</v>
      </c>
      <c r="QK120" s="22">
        <v>1</v>
      </c>
      <c r="QL120" s="22">
        <v>1</v>
      </c>
      <c r="QM120" s="22">
        <v>1</v>
      </c>
      <c r="QN120" s="22">
        <v>1</v>
      </c>
      <c r="QO120" s="22">
        <v>1</v>
      </c>
      <c r="QP120" s="22">
        <v>1</v>
      </c>
      <c r="QQ120" s="22">
        <v>1</v>
      </c>
      <c r="QR120" s="22">
        <v>1</v>
      </c>
      <c r="QS120" s="22">
        <v>0</v>
      </c>
      <c r="QT120" s="22">
        <v>1</v>
      </c>
      <c r="QU120" s="22">
        <v>1</v>
      </c>
      <c r="QV120" s="22">
        <v>0</v>
      </c>
      <c r="QW120" s="22">
        <v>1</v>
      </c>
      <c r="QX120" s="22">
        <v>1</v>
      </c>
      <c r="QY120" s="22">
        <v>0</v>
      </c>
      <c r="QZ120" s="22">
        <v>1</v>
      </c>
      <c r="RA120" s="22">
        <v>1</v>
      </c>
      <c r="RB120" s="22">
        <v>1</v>
      </c>
      <c r="RC120" s="22">
        <v>1</v>
      </c>
      <c r="RD120" s="22">
        <v>1</v>
      </c>
      <c r="RE120" s="22">
        <v>1</v>
      </c>
      <c r="RF120" s="22">
        <v>1</v>
      </c>
      <c r="RG120" s="22">
        <v>1</v>
      </c>
      <c r="RH120" s="22">
        <v>1</v>
      </c>
      <c r="RI120" s="22">
        <v>0</v>
      </c>
      <c r="RJ120" s="22">
        <v>1</v>
      </c>
      <c r="RK120" s="22">
        <v>0</v>
      </c>
      <c r="RL120" s="22">
        <v>1</v>
      </c>
      <c r="RM120" s="22">
        <v>1</v>
      </c>
      <c r="RN120" s="22">
        <v>1</v>
      </c>
      <c r="RO120" s="22">
        <v>1</v>
      </c>
      <c r="RP120" s="22">
        <v>0</v>
      </c>
      <c r="RQ120" s="22">
        <v>1</v>
      </c>
      <c r="RR120" s="22">
        <v>0</v>
      </c>
      <c r="RS120" s="22">
        <v>0</v>
      </c>
      <c r="RT120" s="22">
        <v>1</v>
      </c>
      <c r="RU120" s="22">
        <v>1</v>
      </c>
      <c r="RV120" s="22">
        <v>0</v>
      </c>
      <c r="RW120" s="22">
        <v>1</v>
      </c>
      <c r="RX120" s="22">
        <v>1</v>
      </c>
      <c r="RY120" s="22">
        <v>0</v>
      </c>
      <c r="RZ120" s="22">
        <v>0</v>
      </c>
      <c r="SA120" s="22">
        <v>1</v>
      </c>
      <c r="SB120" s="22">
        <v>1</v>
      </c>
      <c r="SC120" s="22">
        <v>0</v>
      </c>
      <c r="SD120" s="22">
        <v>0</v>
      </c>
      <c r="SE120" s="22">
        <v>1</v>
      </c>
      <c r="SF120" s="22">
        <v>0</v>
      </c>
      <c r="SG120" s="22">
        <v>1</v>
      </c>
      <c r="SH120" s="22">
        <v>1</v>
      </c>
      <c r="SI120" s="22">
        <v>10122</v>
      </c>
      <c r="SJ120" s="19">
        <f t="shared" si="7"/>
        <v>12</v>
      </c>
      <c r="SK120" s="19">
        <f t="shared" si="8"/>
        <v>34</v>
      </c>
      <c r="SL120" s="19">
        <f t="shared" si="9"/>
        <v>22</v>
      </c>
      <c r="SM120" s="9">
        <v>10122</v>
      </c>
      <c r="SN120" s="9" t="s">
        <v>509</v>
      </c>
      <c r="SO120" s="10">
        <v>1</v>
      </c>
      <c r="SP120" s="9">
        <v>1</v>
      </c>
      <c r="SQ120" s="11" t="s">
        <v>552</v>
      </c>
      <c r="SR120" s="9">
        <v>18</v>
      </c>
      <c r="SS120" s="28">
        <v>58.5</v>
      </c>
      <c r="ST120" s="28">
        <v>16</v>
      </c>
      <c r="SU120" s="28">
        <v>61</v>
      </c>
      <c r="SV120" s="28">
        <v>0</v>
      </c>
      <c r="SW120" s="28">
        <v>11</v>
      </c>
      <c r="SX120" s="28">
        <v>14</v>
      </c>
      <c r="SY120" s="29">
        <v>45</v>
      </c>
      <c r="SZ120" s="30">
        <v>55</v>
      </c>
      <c r="TA120" s="31">
        <v>13</v>
      </c>
      <c r="TB120" s="31">
        <v>13</v>
      </c>
    </row>
    <row r="121" spans="1:522" ht="15.75" customHeight="1" x14ac:dyDescent="0.2">
      <c r="A121" s="22">
        <v>10123</v>
      </c>
      <c r="B121" s="22" t="s">
        <v>501</v>
      </c>
      <c r="C121" s="22" t="s">
        <v>502</v>
      </c>
      <c r="D121" s="22" t="s">
        <v>535</v>
      </c>
      <c r="E121" s="22" t="s">
        <v>504</v>
      </c>
      <c r="F121" s="23">
        <v>39540</v>
      </c>
      <c r="G121" s="23">
        <v>40103</v>
      </c>
      <c r="H121" s="14">
        <f t="shared" si="6"/>
        <v>18</v>
      </c>
      <c r="I121" s="22" t="s">
        <v>537</v>
      </c>
      <c r="J121" s="22">
        <v>1</v>
      </c>
      <c r="K121" s="22">
        <v>1</v>
      </c>
      <c r="L121" s="22">
        <v>1</v>
      </c>
      <c r="M121" s="22">
        <v>1</v>
      </c>
      <c r="N121" s="17"/>
      <c r="O121" s="22">
        <v>1</v>
      </c>
      <c r="P121" s="22">
        <v>1</v>
      </c>
      <c r="Q121" s="22">
        <v>1</v>
      </c>
      <c r="R121" s="17"/>
      <c r="S121" s="22">
        <v>1</v>
      </c>
      <c r="T121" s="22">
        <v>1</v>
      </c>
      <c r="U121" s="22">
        <v>1</v>
      </c>
      <c r="V121" s="22">
        <v>1</v>
      </c>
      <c r="W121" s="22">
        <v>1</v>
      </c>
      <c r="X121" s="22">
        <v>1</v>
      </c>
      <c r="Y121" s="22">
        <v>1</v>
      </c>
      <c r="Z121" s="22">
        <v>1</v>
      </c>
      <c r="AA121" s="22">
        <v>1</v>
      </c>
      <c r="AB121" s="22">
        <v>1</v>
      </c>
      <c r="AC121" s="22">
        <v>1</v>
      </c>
      <c r="AD121" s="17"/>
      <c r="AE121" s="22">
        <v>1</v>
      </c>
      <c r="AF121" s="22">
        <v>1</v>
      </c>
      <c r="AG121" s="17"/>
      <c r="AH121" s="22">
        <v>1</v>
      </c>
      <c r="AI121" s="22">
        <v>1</v>
      </c>
      <c r="AJ121" s="17"/>
      <c r="AK121" s="17"/>
      <c r="AL121" s="22">
        <v>1</v>
      </c>
      <c r="AM121" s="17"/>
      <c r="AN121" s="17"/>
      <c r="AO121" s="22" t="s">
        <v>507</v>
      </c>
      <c r="AP121" s="22" t="s">
        <v>508</v>
      </c>
      <c r="AQ121" s="17"/>
      <c r="AR121" s="22">
        <v>1</v>
      </c>
      <c r="AS121" s="17"/>
      <c r="AT121" s="22">
        <v>2</v>
      </c>
      <c r="AU121" s="22">
        <v>1</v>
      </c>
      <c r="AV121" s="17"/>
      <c r="AW121" s="22">
        <v>1</v>
      </c>
      <c r="AX121" s="22">
        <v>1</v>
      </c>
      <c r="AY121" s="22">
        <v>2</v>
      </c>
      <c r="AZ121" s="22">
        <v>2</v>
      </c>
      <c r="BA121" s="17"/>
      <c r="BB121" s="22">
        <v>1</v>
      </c>
      <c r="BC121" s="17"/>
      <c r="BD121" s="17"/>
      <c r="BE121" s="17"/>
      <c r="BF121" s="22">
        <v>1</v>
      </c>
      <c r="BG121" s="17"/>
      <c r="BH121" s="22">
        <v>1</v>
      </c>
      <c r="BI121" s="17"/>
      <c r="BJ121" s="22">
        <v>1</v>
      </c>
      <c r="BK121" s="17"/>
      <c r="BL121" s="17"/>
      <c r="BM121" s="17"/>
      <c r="BN121" s="22">
        <v>1</v>
      </c>
      <c r="BO121" s="17"/>
      <c r="BP121" s="22">
        <v>1</v>
      </c>
      <c r="BQ121" s="22">
        <v>1</v>
      </c>
      <c r="BR121" s="22">
        <v>1</v>
      </c>
      <c r="BS121" s="17"/>
      <c r="BT121" s="17"/>
      <c r="BU121" s="17"/>
      <c r="BV121" s="17"/>
      <c r="BW121" s="22">
        <v>1</v>
      </c>
      <c r="BX121" s="17"/>
      <c r="BY121" s="17"/>
      <c r="BZ121" s="22">
        <v>1</v>
      </c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22">
        <v>1</v>
      </c>
      <c r="CN121" s="17"/>
      <c r="CO121" s="17"/>
      <c r="CP121" s="22">
        <v>1</v>
      </c>
      <c r="CQ121" s="17"/>
      <c r="CR121" s="17"/>
      <c r="CS121" s="17"/>
      <c r="CT121" s="22">
        <v>1</v>
      </c>
      <c r="CU121" s="22">
        <v>1</v>
      </c>
      <c r="CV121" s="22">
        <v>2</v>
      </c>
      <c r="CW121" s="22">
        <v>2</v>
      </c>
      <c r="CX121" s="17"/>
      <c r="CY121" s="17"/>
      <c r="CZ121" s="22">
        <v>1</v>
      </c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22">
        <v>1</v>
      </c>
      <c r="DN121" s="17"/>
      <c r="DO121" s="17"/>
      <c r="DP121" s="22">
        <v>1</v>
      </c>
      <c r="DQ121" s="22">
        <v>2</v>
      </c>
      <c r="DR121" s="22">
        <v>1</v>
      </c>
      <c r="DS121" s="17"/>
      <c r="DT121" s="17"/>
      <c r="DU121" s="17"/>
      <c r="DV121" s="17"/>
      <c r="DW121" s="17"/>
      <c r="DX121" s="17"/>
      <c r="DY121" s="22">
        <v>1</v>
      </c>
      <c r="DZ121" s="17"/>
      <c r="EA121" s="17"/>
      <c r="EB121" s="17"/>
      <c r="EC121" s="17"/>
      <c r="ED121" s="17"/>
      <c r="EE121" s="17"/>
      <c r="EF121" s="22">
        <v>1</v>
      </c>
      <c r="EG121" s="22">
        <v>1</v>
      </c>
      <c r="EH121" s="17"/>
      <c r="EI121" s="17"/>
      <c r="EJ121" s="17"/>
      <c r="EK121" s="22">
        <v>1</v>
      </c>
      <c r="EL121" s="17"/>
      <c r="EM121" s="22">
        <v>1</v>
      </c>
      <c r="EN121" s="17"/>
      <c r="EO121" s="22">
        <v>1</v>
      </c>
      <c r="EP121" s="17"/>
      <c r="EQ121" s="17"/>
      <c r="ER121" s="22">
        <v>1</v>
      </c>
      <c r="ES121" s="17"/>
      <c r="ET121" s="17"/>
      <c r="EU121" s="17"/>
      <c r="EV121" s="22">
        <v>1</v>
      </c>
      <c r="EW121" s="17"/>
      <c r="EX121" s="22">
        <v>1</v>
      </c>
      <c r="EY121" s="17"/>
      <c r="EZ121" s="22">
        <v>1</v>
      </c>
      <c r="FA121" s="17"/>
      <c r="FB121" s="17"/>
      <c r="FC121" s="17"/>
      <c r="FD121" s="22">
        <v>1</v>
      </c>
      <c r="FE121" s="22">
        <v>1</v>
      </c>
      <c r="FF121" s="17"/>
      <c r="FG121" s="17"/>
      <c r="FH121" s="17"/>
      <c r="FI121" s="17"/>
      <c r="FJ121" s="17"/>
      <c r="FK121" s="17"/>
      <c r="FL121" s="17"/>
      <c r="FM121" s="17"/>
      <c r="FN121" s="22">
        <v>1</v>
      </c>
      <c r="FO121" s="22">
        <v>1</v>
      </c>
      <c r="FP121" s="17"/>
      <c r="FQ121" s="17"/>
      <c r="FR121" s="22">
        <v>1</v>
      </c>
      <c r="FS121" s="17"/>
      <c r="FT121" s="17"/>
      <c r="FU121" s="17"/>
      <c r="FV121" s="22">
        <v>2</v>
      </c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22">
        <v>1</v>
      </c>
      <c r="GH121" s="17"/>
      <c r="GI121" s="17"/>
      <c r="GJ121" s="17"/>
      <c r="GK121" s="22">
        <v>1</v>
      </c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22">
        <v>1</v>
      </c>
      <c r="GZ121" s="22">
        <v>1</v>
      </c>
      <c r="HA121" s="17"/>
      <c r="HB121" s="17"/>
      <c r="HC121" s="17"/>
      <c r="HD121" s="22">
        <v>1</v>
      </c>
      <c r="HE121" s="17"/>
      <c r="HF121" s="17"/>
      <c r="HG121" s="17"/>
      <c r="HH121" s="17"/>
      <c r="HI121" s="17"/>
      <c r="HJ121" s="17"/>
      <c r="HK121" s="17"/>
      <c r="HL121" s="17"/>
      <c r="HM121" s="17"/>
      <c r="HN121" s="17"/>
      <c r="HO121" s="17"/>
      <c r="HP121" s="17"/>
      <c r="HQ121" s="17"/>
      <c r="HR121" s="17"/>
      <c r="HS121" s="17"/>
      <c r="HT121" s="17"/>
      <c r="HU121" s="17"/>
      <c r="HV121" s="17"/>
      <c r="HW121" s="17"/>
      <c r="HX121" s="17"/>
      <c r="HY121" s="17"/>
      <c r="HZ121" s="17"/>
      <c r="IA121" s="17"/>
      <c r="IB121" s="17"/>
      <c r="IC121" s="17"/>
      <c r="ID121" s="17"/>
      <c r="IE121" s="17"/>
      <c r="IF121" s="22">
        <v>1</v>
      </c>
      <c r="IG121" s="17"/>
      <c r="IH121" s="17"/>
      <c r="II121" s="17"/>
      <c r="IJ121" s="17"/>
      <c r="IK121" s="22">
        <v>1</v>
      </c>
      <c r="IL121" s="17"/>
      <c r="IM121" s="17"/>
      <c r="IN121" s="17"/>
      <c r="IO121" s="22">
        <v>1</v>
      </c>
      <c r="IP121" s="17"/>
      <c r="IQ121" s="17"/>
      <c r="IR121" s="17"/>
      <c r="IS121" s="17"/>
      <c r="IT121" s="17"/>
      <c r="IU121" s="17"/>
      <c r="IV121" s="17"/>
      <c r="IW121" s="17"/>
      <c r="IX121" s="17"/>
      <c r="IY121" s="17"/>
      <c r="IZ121" s="17"/>
      <c r="JA121" s="22">
        <v>1</v>
      </c>
      <c r="JB121" s="17"/>
      <c r="JC121" s="17"/>
      <c r="JD121" s="17"/>
      <c r="JE121" s="22">
        <v>1</v>
      </c>
      <c r="JF121" s="17"/>
      <c r="JG121" s="22">
        <v>1</v>
      </c>
      <c r="JH121" s="17"/>
      <c r="JI121" s="17"/>
      <c r="JJ121" s="17"/>
      <c r="JK121" s="22">
        <v>1</v>
      </c>
      <c r="JL121" s="17"/>
      <c r="JM121" s="17"/>
      <c r="JN121" s="17"/>
      <c r="JO121" s="17"/>
      <c r="JP121" s="17"/>
      <c r="JQ121" s="17"/>
      <c r="JR121" s="17"/>
      <c r="JS121" s="17"/>
      <c r="JT121" s="17"/>
      <c r="JU121" s="17"/>
      <c r="JV121" s="17"/>
      <c r="JW121" s="17"/>
      <c r="JX121" s="17"/>
      <c r="JY121" s="17"/>
      <c r="JZ121" s="22">
        <v>2</v>
      </c>
      <c r="KA121" s="17"/>
      <c r="KB121" s="17"/>
      <c r="KC121" s="17"/>
      <c r="KD121" s="17"/>
      <c r="KE121" s="17"/>
      <c r="KF121" s="17"/>
      <c r="KG121" s="17"/>
      <c r="KH121" s="22">
        <v>1</v>
      </c>
      <c r="KI121" s="22">
        <v>1</v>
      </c>
      <c r="KJ121" s="22">
        <v>1</v>
      </c>
      <c r="KK121" s="17"/>
      <c r="KL121" s="22">
        <v>1</v>
      </c>
      <c r="KM121" s="17"/>
      <c r="KN121" s="17"/>
      <c r="KO121" s="17"/>
      <c r="KP121" s="17"/>
      <c r="KQ121" s="17"/>
      <c r="KR121" s="17"/>
      <c r="KS121" s="17"/>
      <c r="KT121" s="17"/>
      <c r="KU121" s="17"/>
      <c r="KV121" s="17"/>
      <c r="KW121" s="17"/>
      <c r="KX121" s="17"/>
      <c r="KY121" s="17"/>
      <c r="KZ121" s="17"/>
      <c r="LA121" s="22">
        <v>1</v>
      </c>
      <c r="LB121" s="17"/>
      <c r="LC121" s="22">
        <v>1</v>
      </c>
      <c r="LD121" s="17"/>
      <c r="LE121" s="17"/>
      <c r="LF121" s="17"/>
      <c r="LG121" s="17"/>
      <c r="LH121" s="17"/>
      <c r="LI121" s="17"/>
      <c r="LJ121" s="22">
        <v>1</v>
      </c>
      <c r="LK121" s="17"/>
      <c r="LL121" s="22">
        <v>1</v>
      </c>
      <c r="LM121" s="17"/>
      <c r="LN121" s="17"/>
      <c r="LO121" s="17"/>
      <c r="LP121" s="22">
        <v>1</v>
      </c>
      <c r="LQ121" s="17"/>
      <c r="LR121" s="17"/>
      <c r="LS121" s="17"/>
      <c r="LT121" s="17"/>
      <c r="LU121" s="17"/>
      <c r="LV121" s="17"/>
      <c r="LW121" s="17"/>
      <c r="LX121" s="22">
        <v>1</v>
      </c>
      <c r="LY121" s="17"/>
      <c r="LZ121" s="17"/>
      <c r="MA121" s="17"/>
      <c r="MB121" s="17"/>
      <c r="MC121" s="17"/>
      <c r="MD121" s="17"/>
      <c r="ME121" s="17"/>
      <c r="MF121" s="17"/>
      <c r="MG121" s="17"/>
      <c r="MH121" s="17"/>
      <c r="MI121" s="17"/>
      <c r="MJ121" s="17"/>
      <c r="MK121" s="17"/>
      <c r="ML121" s="22">
        <v>1</v>
      </c>
      <c r="MM121" s="17"/>
      <c r="MN121" s="17"/>
      <c r="MO121" s="17"/>
      <c r="MP121" s="17"/>
      <c r="MQ121" s="17"/>
      <c r="MR121" s="17"/>
      <c r="MS121" s="17"/>
      <c r="MT121" s="17"/>
      <c r="MU121" s="17"/>
      <c r="MV121" s="17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22">
        <v>1</v>
      </c>
      <c r="NI121" s="17"/>
      <c r="NJ121" s="17"/>
      <c r="NK121" s="17"/>
      <c r="NL121" s="17"/>
      <c r="NM121" s="17"/>
      <c r="NN121" s="17"/>
      <c r="NO121" s="17"/>
      <c r="NP121" s="17"/>
      <c r="NQ121" s="17"/>
      <c r="NR121" s="22">
        <v>1</v>
      </c>
      <c r="NS121" s="22">
        <v>1</v>
      </c>
      <c r="NT121" s="17"/>
      <c r="NU121" s="17"/>
      <c r="NV121" s="22">
        <v>1</v>
      </c>
      <c r="NW121" s="22">
        <v>1</v>
      </c>
      <c r="NX121" s="17"/>
      <c r="NY121" s="17"/>
      <c r="NZ121" s="17"/>
      <c r="OA121" s="17"/>
      <c r="OB121" s="17"/>
      <c r="OC121" s="17"/>
      <c r="OD121" s="17"/>
      <c r="OE121" s="17"/>
      <c r="OF121" s="17"/>
      <c r="OG121" s="17"/>
      <c r="OH121" s="17"/>
      <c r="OI121" s="17"/>
      <c r="OJ121" s="17"/>
      <c r="OK121" s="17"/>
      <c r="OL121" s="22">
        <v>1</v>
      </c>
      <c r="OM121" s="17"/>
      <c r="ON121" s="17"/>
      <c r="OO121" s="17"/>
      <c r="OP121" s="17"/>
      <c r="OQ121" s="17"/>
      <c r="OR121" s="22">
        <v>1</v>
      </c>
      <c r="OS121" s="17"/>
      <c r="OT121" s="17"/>
      <c r="OU121" s="17"/>
      <c r="OV121" s="17"/>
      <c r="OW121" s="17"/>
      <c r="OX121" s="17"/>
      <c r="OY121" s="17"/>
      <c r="OZ121" s="17"/>
      <c r="PA121" s="17"/>
      <c r="PB121" s="17"/>
      <c r="PC121" s="17"/>
      <c r="PD121" s="17"/>
      <c r="PE121" s="17"/>
      <c r="PF121" s="22">
        <v>1</v>
      </c>
      <c r="PG121" s="17"/>
      <c r="PH121" s="17"/>
      <c r="PI121" s="17"/>
      <c r="PJ121" s="17"/>
      <c r="PK121" s="17"/>
      <c r="PL121" s="17"/>
      <c r="PM121" s="17"/>
      <c r="PN121" s="22">
        <v>1</v>
      </c>
      <c r="PO121" s="17"/>
      <c r="PP121" s="17"/>
      <c r="PQ121" s="22">
        <v>1</v>
      </c>
      <c r="PR121" s="17"/>
      <c r="PS121" s="17"/>
      <c r="PT121" s="17"/>
      <c r="PU121" s="17"/>
      <c r="PV121" s="17"/>
      <c r="PW121" s="22" t="s">
        <v>506</v>
      </c>
      <c r="PX121" s="22" t="s">
        <v>506</v>
      </c>
      <c r="PY121" s="22" t="s">
        <v>506</v>
      </c>
      <c r="PZ121" s="22" t="s">
        <v>506</v>
      </c>
      <c r="QA121" s="22" t="s">
        <v>506</v>
      </c>
      <c r="QB121" s="22" t="s">
        <v>506</v>
      </c>
      <c r="QC121" s="22" t="s">
        <v>508</v>
      </c>
      <c r="QD121" s="22" t="s">
        <v>508</v>
      </c>
      <c r="QE121" s="22" t="s">
        <v>506</v>
      </c>
      <c r="QF121" s="22" t="s">
        <v>506</v>
      </c>
      <c r="QG121" s="17"/>
      <c r="QH121" s="17"/>
      <c r="QI121" s="22">
        <v>1</v>
      </c>
      <c r="QJ121" s="22">
        <v>1</v>
      </c>
      <c r="QK121" s="22">
        <v>0</v>
      </c>
      <c r="QL121" s="22">
        <v>1</v>
      </c>
      <c r="QM121" s="22">
        <v>0</v>
      </c>
      <c r="QN121" s="22">
        <v>1</v>
      </c>
      <c r="QO121" s="22">
        <v>1</v>
      </c>
      <c r="QP121" s="22">
        <v>1</v>
      </c>
      <c r="QQ121" s="22">
        <v>1</v>
      </c>
      <c r="QR121" s="22">
        <v>1</v>
      </c>
      <c r="QS121" s="22">
        <v>1</v>
      </c>
      <c r="QT121" s="22">
        <v>1</v>
      </c>
      <c r="QU121" s="22">
        <v>1</v>
      </c>
      <c r="QV121" s="22">
        <v>0</v>
      </c>
      <c r="QW121" s="22">
        <v>0</v>
      </c>
      <c r="QX121" s="22">
        <v>1</v>
      </c>
      <c r="QY121" s="22">
        <v>1</v>
      </c>
      <c r="QZ121" s="22">
        <v>1</v>
      </c>
      <c r="RA121" s="22">
        <v>1</v>
      </c>
      <c r="RB121" s="22">
        <v>1</v>
      </c>
      <c r="RC121" s="22">
        <v>1</v>
      </c>
      <c r="RD121" s="22">
        <v>0</v>
      </c>
      <c r="RE121" s="22">
        <v>0</v>
      </c>
      <c r="RF121" s="22">
        <v>0</v>
      </c>
      <c r="RG121" s="22">
        <v>0</v>
      </c>
      <c r="RH121" s="22">
        <v>0</v>
      </c>
      <c r="RI121" s="22">
        <v>0</v>
      </c>
      <c r="RJ121" s="22">
        <v>0</v>
      </c>
      <c r="RK121" s="17"/>
      <c r="RL121" s="22">
        <v>1</v>
      </c>
      <c r="RM121" s="22">
        <v>0</v>
      </c>
      <c r="RN121" s="22">
        <v>1</v>
      </c>
      <c r="RO121" s="22">
        <v>0</v>
      </c>
      <c r="RP121" s="22">
        <v>0</v>
      </c>
      <c r="RQ121" s="22">
        <v>0</v>
      </c>
      <c r="RR121" s="22">
        <v>0</v>
      </c>
      <c r="RS121" s="22">
        <v>1</v>
      </c>
      <c r="RT121" s="22">
        <v>0</v>
      </c>
      <c r="RU121" s="22">
        <v>1</v>
      </c>
      <c r="RV121" s="22">
        <v>0</v>
      </c>
      <c r="RW121" s="22">
        <v>1</v>
      </c>
      <c r="RX121" s="22">
        <v>1</v>
      </c>
      <c r="RY121" s="22">
        <v>1</v>
      </c>
      <c r="RZ121" s="22">
        <v>1</v>
      </c>
      <c r="SA121" s="22">
        <v>1</v>
      </c>
      <c r="SB121" s="22">
        <v>1</v>
      </c>
      <c r="SC121" s="22">
        <v>0</v>
      </c>
      <c r="SD121" s="22">
        <v>0</v>
      </c>
      <c r="SE121" s="22">
        <v>1</v>
      </c>
      <c r="SF121" s="22">
        <v>0</v>
      </c>
      <c r="SG121" s="22">
        <v>1</v>
      </c>
      <c r="SH121" s="22">
        <v>0</v>
      </c>
      <c r="SI121" s="22">
        <v>10123</v>
      </c>
      <c r="SJ121" s="19">
        <f t="shared" si="7"/>
        <v>70</v>
      </c>
      <c r="SK121" s="19">
        <f t="shared" si="8"/>
        <v>78</v>
      </c>
      <c r="SL121" s="19">
        <f t="shared" si="9"/>
        <v>8</v>
      </c>
      <c r="SM121" s="16">
        <v>10123</v>
      </c>
      <c r="SN121" s="16" t="s">
        <v>504</v>
      </c>
      <c r="SO121" s="16">
        <v>2</v>
      </c>
      <c r="SP121" s="16">
        <v>2</v>
      </c>
      <c r="SQ121" s="16" t="s">
        <v>517</v>
      </c>
      <c r="SR121" s="16">
        <v>16</v>
      </c>
      <c r="SS121" s="31">
        <v>63.5</v>
      </c>
      <c r="ST121" s="31">
        <v>17</v>
      </c>
      <c r="SU121" s="31">
        <v>55</v>
      </c>
      <c r="SV121" s="31">
        <v>0</v>
      </c>
      <c r="SW121" s="31">
        <v>3</v>
      </c>
      <c r="SX121" s="31">
        <v>8</v>
      </c>
      <c r="SY121" s="31">
        <v>39</v>
      </c>
      <c r="SZ121" s="31">
        <v>28</v>
      </c>
      <c r="TA121" s="31">
        <v>18</v>
      </c>
      <c r="TB121" s="31">
        <v>25</v>
      </c>
    </row>
    <row r="122" spans="1:522" ht="15.75" customHeight="1" x14ac:dyDescent="0.2">
      <c r="SO122" s="9"/>
    </row>
    <row r="123" spans="1:522" ht="15.75" customHeight="1" x14ac:dyDescent="0.2">
      <c r="SO123" s="9"/>
    </row>
    <row r="124" spans="1:522" ht="15.75" customHeight="1" x14ac:dyDescent="0.2"/>
    <row r="125" spans="1:522" ht="15.75" customHeight="1" x14ac:dyDescent="0.2"/>
    <row r="126" spans="1:522" ht="15.75" customHeight="1" x14ac:dyDescent="0.2"/>
    <row r="127" spans="1:522" ht="15.75" customHeight="1" x14ac:dyDescent="0.2"/>
    <row r="128" spans="1:52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autoFilter ref="SS1:TB121" xr:uid="{EFEAD7BF-7A93-4FE6-8A71-43118F22F0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0D40-03BE-42B8-90A7-52754817A7A2}">
  <dimension ref="A1:P124"/>
  <sheetViews>
    <sheetView workbookViewId="0">
      <selection activeCell="A2" sqref="A2:P123"/>
    </sheetView>
  </sheetViews>
  <sheetFormatPr defaultRowHeight="15" x14ac:dyDescent="0.25"/>
  <sheetData>
    <row r="1" spans="1:16" ht="30" x14ac:dyDescent="0.25">
      <c r="A1" s="4" t="s">
        <v>523</v>
      </c>
      <c r="B1" s="4" t="s">
        <v>524</v>
      </c>
      <c r="C1" s="5" t="s">
        <v>560</v>
      </c>
      <c r="D1" s="4" t="s">
        <v>540</v>
      </c>
      <c r="E1" s="6" t="s">
        <v>529</v>
      </c>
      <c r="F1" s="4" t="s">
        <v>541</v>
      </c>
      <c r="G1" s="4" t="s">
        <v>514</v>
      </c>
      <c r="H1" s="4" t="s">
        <v>525</v>
      </c>
      <c r="I1" s="4" t="s">
        <v>542</v>
      </c>
      <c r="J1" s="6" t="s">
        <v>543</v>
      </c>
      <c r="K1" s="6" t="s">
        <v>544</v>
      </c>
      <c r="L1" s="6" t="s">
        <v>545</v>
      </c>
      <c r="M1" s="7" t="s">
        <v>546</v>
      </c>
      <c r="N1" s="1" t="s">
        <v>547</v>
      </c>
      <c r="O1" t="s">
        <v>548</v>
      </c>
      <c r="P1" t="s">
        <v>549</v>
      </c>
    </row>
    <row r="2" spans="1:16" x14ac:dyDescent="0.25">
      <c r="A2" s="9">
        <v>10002</v>
      </c>
      <c r="B2" s="9" t="s">
        <v>561</v>
      </c>
      <c r="C2" s="10">
        <v>2</v>
      </c>
      <c r="D2" s="9">
        <v>2</v>
      </c>
      <c r="E2" s="11" t="s">
        <v>515</v>
      </c>
      <c r="F2" s="9">
        <v>18</v>
      </c>
      <c r="G2" s="9">
        <v>63</v>
      </c>
      <c r="H2" s="9">
        <v>17</v>
      </c>
      <c r="I2" s="9">
        <v>29</v>
      </c>
      <c r="J2" s="11">
        <v>0</v>
      </c>
      <c r="K2" s="11">
        <v>9</v>
      </c>
      <c r="L2" s="11">
        <v>13</v>
      </c>
      <c r="M2" s="12">
        <v>47</v>
      </c>
      <c r="N2" s="1">
        <v>70</v>
      </c>
      <c r="O2">
        <v>13</v>
      </c>
      <c r="P2">
        <v>12</v>
      </c>
    </row>
    <row r="3" spans="1:16" x14ac:dyDescent="0.25">
      <c r="A3" s="9">
        <v>10003</v>
      </c>
      <c r="B3" s="9" t="s">
        <v>561</v>
      </c>
      <c r="C3" s="10">
        <v>1</v>
      </c>
      <c r="D3" s="9">
        <v>2</v>
      </c>
      <c r="E3" s="11" t="s">
        <v>516</v>
      </c>
      <c r="F3" s="9">
        <v>14</v>
      </c>
      <c r="G3" s="9">
        <v>55</v>
      </c>
      <c r="H3" s="9">
        <v>17</v>
      </c>
      <c r="I3" s="9">
        <v>154</v>
      </c>
      <c r="J3" s="11">
        <v>27</v>
      </c>
      <c r="K3" s="11">
        <v>46</v>
      </c>
      <c r="L3" s="11">
        <v>43</v>
      </c>
      <c r="M3" s="12">
        <v>39</v>
      </c>
      <c r="N3" s="1">
        <v>28</v>
      </c>
      <c r="O3">
        <v>27</v>
      </c>
      <c r="P3">
        <v>85</v>
      </c>
    </row>
    <row r="4" spans="1:16" x14ac:dyDescent="0.25">
      <c r="A4" s="9">
        <v>10004</v>
      </c>
      <c r="B4" s="9" t="s">
        <v>561</v>
      </c>
      <c r="C4" s="10">
        <v>1</v>
      </c>
      <c r="D4" s="9">
        <v>2</v>
      </c>
      <c r="E4" s="11" t="s">
        <v>517</v>
      </c>
      <c r="F4" s="9">
        <v>16</v>
      </c>
      <c r="G4" s="9">
        <v>66</v>
      </c>
      <c r="H4" s="9">
        <v>16</v>
      </c>
      <c r="I4" s="9">
        <v>126</v>
      </c>
      <c r="J4" s="11">
        <v>28</v>
      </c>
      <c r="K4" s="11">
        <v>19</v>
      </c>
      <c r="L4" s="11">
        <v>34</v>
      </c>
      <c r="M4" s="12">
        <v>42</v>
      </c>
      <c r="N4" s="1">
        <v>60</v>
      </c>
      <c r="O4">
        <v>18</v>
      </c>
      <c r="P4">
        <v>30</v>
      </c>
    </row>
    <row r="5" spans="1:16" x14ac:dyDescent="0.25">
      <c r="A5" s="9">
        <v>10005</v>
      </c>
      <c r="B5" s="9" t="s">
        <v>561</v>
      </c>
      <c r="C5" s="10">
        <v>1</v>
      </c>
      <c r="D5" s="9">
        <v>1</v>
      </c>
      <c r="E5" s="11" t="s">
        <v>517</v>
      </c>
      <c r="F5" s="9">
        <v>16</v>
      </c>
      <c r="G5" s="9">
        <v>63</v>
      </c>
      <c r="H5" s="9">
        <v>17</v>
      </c>
      <c r="I5" s="9">
        <v>65</v>
      </c>
      <c r="J5" s="11">
        <v>0</v>
      </c>
      <c r="K5" s="11">
        <v>12</v>
      </c>
      <c r="L5" s="11">
        <v>14</v>
      </c>
      <c r="M5" s="12">
        <v>28</v>
      </c>
      <c r="N5" s="1">
        <v>7</v>
      </c>
      <c r="O5">
        <v>14</v>
      </c>
      <c r="P5">
        <v>13</v>
      </c>
    </row>
    <row r="6" spans="1:16" x14ac:dyDescent="0.25">
      <c r="A6" s="9">
        <v>10006</v>
      </c>
      <c r="B6" s="9" t="s">
        <v>562</v>
      </c>
      <c r="C6" s="10">
        <v>2</v>
      </c>
      <c r="D6" s="9">
        <v>3</v>
      </c>
      <c r="E6" s="11" t="s">
        <v>517</v>
      </c>
      <c r="F6" s="9">
        <v>16</v>
      </c>
      <c r="G6" s="9">
        <v>63</v>
      </c>
      <c r="H6" s="9">
        <v>16</v>
      </c>
      <c r="I6" s="9">
        <v>203</v>
      </c>
      <c r="J6" s="11">
        <v>48</v>
      </c>
      <c r="K6" s="11">
        <v>66</v>
      </c>
      <c r="L6" s="11">
        <v>65</v>
      </c>
      <c r="M6" s="12">
        <v>58</v>
      </c>
      <c r="N6" s="1">
        <v>95</v>
      </c>
      <c r="O6">
        <v>24</v>
      </c>
      <c r="P6">
        <v>55</v>
      </c>
    </row>
    <row r="7" spans="1:16" x14ac:dyDescent="0.25">
      <c r="A7" s="9">
        <v>10007</v>
      </c>
      <c r="B7" s="9" t="s">
        <v>561</v>
      </c>
      <c r="C7" s="10">
        <v>1</v>
      </c>
      <c r="D7" s="9">
        <v>1</v>
      </c>
      <c r="E7" s="13" t="s">
        <v>517</v>
      </c>
      <c r="F7" s="9">
        <v>16</v>
      </c>
      <c r="G7" s="9">
        <v>55.5</v>
      </c>
      <c r="H7" s="9">
        <v>17</v>
      </c>
      <c r="I7" s="9">
        <v>224</v>
      </c>
      <c r="J7" s="11">
        <v>58</v>
      </c>
      <c r="K7" s="11">
        <v>22</v>
      </c>
      <c r="L7" s="11">
        <v>20</v>
      </c>
      <c r="M7" s="12">
        <v>41</v>
      </c>
      <c r="N7" s="1">
        <v>40</v>
      </c>
      <c r="O7">
        <v>28</v>
      </c>
      <c r="P7">
        <v>99</v>
      </c>
    </row>
    <row r="8" spans="1:16" x14ac:dyDescent="0.25">
      <c r="A8" s="9">
        <v>10008</v>
      </c>
      <c r="B8" s="9" t="s">
        <v>561</v>
      </c>
      <c r="C8" s="10">
        <v>1</v>
      </c>
      <c r="D8" s="9">
        <v>2</v>
      </c>
      <c r="E8" s="11" t="s">
        <v>518</v>
      </c>
      <c r="F8" s="9">
        <v>16</v>
      </c>
      <c r="G8" s="9" t="s">
        <v>563</v>
      </c>
      <c r="H8" s="9">
        <v>17</v>
      </c>
      <c r="I8" s="9">
        <v>118</v>
      </c>
      <c r="J8" s="11">
        <v>15</v>
      </c>
      <c r="K8" s="11">
        <v>16</v>
      </c>
      <c r="L8" s="11">
        <v>17</v>
      </c>
      <c r="M8" s="12">
        <v>32</v>
      </c>
      <c r="N8" s="1">
        <v>12</v>
      </c>
      <c r="O8">
        <v>21</v>
      </c>
      <c r="P8">
        <v>35</v>
      </c>
    </row>
    <row r="9" spans="1:16" x14ac:dyDescent="0.25">
      <c r="A9" s="9">
        <v>10009</v>
      </c>
      <c r="B9" s="9" t="s">
        <v>561</v>
      </c>
      <c r="C9" s="10">
        <v>1</v>
      </c>
      <c r="D9" s="9">
        <v>2</v>
      </c>
      <c r="E9" s="13" t="s">
        <v>517</v>
      </c>
      <c r="F9" s="9">
        <v>16</v>
      </c>
      <c r="G9" s="9">
        <v>55.5</v>
      </c>
      <c r="H9" s="9">
        <v>16</v>
      </c>
      <c r="I9" s="9">
        <v>78</v>
      </c>
      <c r="J9" s="11">
        <v>13</v>
      </c>
      <c r="K9" s="11">
        <v>19</v>
      </c>
      <c r="L9" s="11">
        <v>34</v>
      </c>
      <c r="M9" s="12">
        <v>31</v>
      </c>
      <c r="N9" s="1">
        <v>17</v>
      </c>
      <c r="O9">
        <v>10</v>
      </c>
      <c r="P9">
        <v>10</v>
      </c>
    </row>
    <row r="10" spans="1:16" x14ac:dyDescent="0.25">
      <c r="A10" s="9">
        <v>10010</v>
      </c>
      <c r="B10" s="9" t="s">
        <v>561</v>
      </c>
      <c r="C10" s="10">
        <v>1</v>
      </c>
      <c r="D10" s="9">
        <v>1</v>
      </c>
      <c r="E10" s="11" t="s">
        <v>517</v>
      </c>
      <c r="F10" s="9">
        <v>18</v>
      </c>
      <c r="G10" s="9" t="s">
        <v>563</v>
      </c>
      <c r="H10" s="9">
        <v>18</v>
      </c>
      <c r="I10" s="9">
        <v>141</v>
      </c>
      <c r="J10" s="11">
        <v>13</v>
      </c>
      <c r="K10" s="11">
        <v>76</v>
      </c>
      <c r="L10" s="11">
        <v>47</v>
      </c>
      <c r="M10" s="12">
        <v>43</v>
      </c>
      <c r="N10" s="1">
        <v>28</v>
      </c>
      <c r="O10">
        <v>15</v>
      </c>
      <c r="P10">
        <v>12</v>
      </c>
    </row>
    <row r="11" spans="1:16" x14ac:dyDescent="0.25">
      <c r="A11" s="9">
        <v>10011</v>
      </c>
      <c r="B11" s="9" t="s">
        <v>562</v>
      </c>
      <c r="C11" s="10">
        <v>1</v>
      </c>
      <c r="D11" s="9">
        <v>1</v>
      </c>
      <c r="E11" s="13" t="s">
        <v>517</v>
      </c>
      <c r="F11" s="9">
        <v>16</v>
      </c>
      <c r="G11" s="9">
        <v>30</v>
      </c>
      <c r="H11" s="9">
        <v>16</v>
      </c>
      <c r="I11" s="9">
        <v>316</v>
      </c>
      <c r="J11" s="11">
        <v>87</v>
      </c>
      <c r="K11" s="11">
        <v>70</v>
      </c>
      <c r="L11" s="11">
        <v>67</v>
      </c>
      <c r="M11" s="12">
        <v>52</v>
      </c>
      <c r="N11" s="1">
        <v>80</v>
      </c>
      <c r="O11">
        <v>23</v>
      </c>
      <c r="P11">
        <v>50</v>
      </c>
    </row>
    <row r="12" spans="1:16" x14ac:dyDescent="0.25">
      <c r="A12" s="9">
        <v>10012</v>
      </c>
      <c r="B12" s="9" t="s">
        <v>561</v>
      </c>
      <c r="C12" s="10">
        <v>1</v>
      </c>
      <c r="D12" s="9">
        <v>2</v>
      </c>
      <c r="E12" s="13" t="s">
        <v>515</v>
      </c>
      <c r="F12" s="9">
        <v>17</v>
      </c>
      <c r="G12" s="9" t="s">
        <v>563</v>
      </c>
      <c r="H12" s="9">
        <v>16</v>
      </c>
      <c r="I12" s="9">
        <v>29</v>
      </c>
      <c r="J12" s="11">
        <v>0</v>
      </c>
      <c r="K12" s="11">
        <v>3</v>
      </c>
      <c r="L12" s="11">
        <v>12</v>
      </c>
      <c r="M12" s="12">
        <v>35</v>
      </c>
      <c r="N12" s="1">
        <v>28</v>
      </c>
      <c r="O12">
        <v>6</v>
      </c>
      <c r="P12">
        <v>5</v>
      </c>
    </row>
    <row r="13" spans="1:16" x14ac:dyDescent="0.25">
      <c r="A13" s="9">
        <v>10013</v>
      </c>
      <c r="B13" s="9" t="s">
        <v>562</v>
      </c>
      <c r="C13" s="10">
        <v>2</v>
      </c>
      <c r="D13" s="9">
        <v>3</v>
      </c>
      <c r="E13" s="11" t="s">
        <v>517</v>
      </c>
      <c r="F13" s="9">
        <v>18</v>
      </c>
      <c r="G13" s="9" t="s">
        <v>563</v>
      </c>
      <c r="H13" s="9">
        <v>16</v>
      </c>
      <c r="I13" s="9">
        <v>151</v>
      </c>
      <c r="J13" s="11">
        <v>29</v>
      </c>
      <c r="K13" s="11">
        <v>39</v>
      </c>
      <c r="L13" s="11">
        <v>45</v>
      </c>
      <c r="M13" s="12">
        <v>34</v>
      </c>
      <c r="N13" s="1">
        <v>18</v>
      </c>
      <c r="O13">
        <v>23</v>
      </c>
      <c r="P13">
        <v>50</v>
      </c>
    </row>
    <row r="14" spans="1:16" x14ac:dyDescent="0.25">
      <c r="A14" s="9">
        <v>10014</v>
      </c>
      <c r="B14" s="13" t="s">
        <v>561</v>
      </c>
      <c r="C14" s="10">
        <v>1</v>
      </c>
      <c r="D14" s="9">
        <v>1</v>
      </c>
      <c r="E14" s="13" t="s">
        <v>518</v>
      </c>
      <c r="F14" s="9">
        <v>17</v>
      </c>
      <c r="G14" s="9">
        <v>45.5</v>
      </c>
      <c r="H14" s="9">
        <v>17</v>
      </c>
      <c r="I14" s="9">
        <v>185</v>
      </c>
      <c r="J14" s="11">
        <v>38</v>
      </c>
      <c r="K14" s="11">
        <v>39</v>
      </c>
      <c r="L14" s="11">
        <v>34</v>
      </c>
      <c r="M14" s="12">
        <v>40</v>
      </c>
      <c r="N14" s="1">
        <v>35</v>
      </c>
      <c r="O14">
        <v>18</v>
      </c>
      <c r="P14">
        <v>25</v>
      </c>
    </row>
    <row r="15" spans="1:16" x14ac:dyDescent="0.25">
      <c r="A15" s="9">
        <v>10015</v>
      </c>
      <c r="B15" s="9" t="s">
        <v>561</v>
      </c>
      <c r="C15" s="10">
        <v>1</v>
      </c>
      <c r="D15" s="9" t="s">
        <v>563</v>
      </c>
      <c r="E15" s="11" t="s">
        <v>517</v>
      </c>
      <c r="F15" s="9">
        <v>18</v>
      </c>
      <c r="G15" s="9" t="s">
        <v>563</v>
      </c>
      <c r="H15" s="9">
        <v>16</v>
      </c>
      <c r="I15" s="9">
        <v>175</v>
      </c>
      <c r="J15" s="11">
        <v>50</v>
      </c>
      <c r="K15" s="11">
        <v>27</v>
      </c>
      <c r="L15" s="11">
        <v>46</v>
      </c>
      <c r="M15" s="12">
        <v>39</v>
      </c>
      <c r="N15" s="1">
        <v>48</v>
      </c>
      <c r="O15">
        <v>21</v>
      </c>
      <c r="P15">
        <v>45</v>
      </c>
    </row>
    <row r="16" spans="1:16" x14ac:dyDescent="0.25">
      <c r="A16" s="9">
        <v>10016</v>
      </c>
      <c r="B16" s="9" t="s">
        <v>562</v>
      </c>
      <c r="C16" s="10">
        <v>1</v>
      </c>
      <c r="D16" s="9">
        <v>1</v>
      </c>
      <c r="E16" s="11" t="s">
        <v>515</v>
      </c>
      <c r="F16" s="9">
        <v>16</v>
      </c>
      <c r="G16" s="9">
        <v>53</v>
      </c>
      <c r="H16" s="9">
        <v>16</v>
      </c>
      <c r="I16" s="9">
        <v>155</v>
      </c>
      <c r="J16" s="11">
        <v>31</v>
      </c>
      <c r="K16" s="11">
        <v>49</v>
      </c>
      <c r="L16" s="11">
        <v>55</v>
      </c>
      <c r="M16" s="12">
        <v>38</v>
      </c>
      <c r="N16" s="1">
        <v>25</v>
      </c>
      <c r="O16">
        <v>17</v>
      </c>
      <c r="P16">
        <v>20</v>
      </c>
    </row>
    <row r="17" spans="1:16" x14ac:dyDescent="0.25">
      <c r="A17" s="9">
        <v>10017</v>
      </c>
      <c r="B17" s="9" t="s">
        <v>561</v>
      </c>
      <c r="C17" s="10">
        <v>2</v>
      </c>
      <c r="D17" s="9">
        <v>2</v>
      </c>
      <c r="E17" s="13" t="s">
        <v>515</v>
      </c>
      <c r="F17" s="9">
        <v>16</v>
      </c>
      <c r="G17" s="9">
        <v>62</v>
      </c>
      <c r="H17" s="9">
        <v>16</v>
      </c>
      <c r="I17" s="9">
        <v>173</v>
      </c>
      <c r="J17" s="11">
        <v>49</v>
      </c>
      <c r="K17" s="11">
        <v>12</v>
      </c>
      <c r="L17" s="11">
        <v>25</v>
      </c>
      <c r="M17" s="12">
        <v>47</v>
      </c>
      <c r="N17" s="1">
        <v>78</v>
      </c>
      <c r="O17">
        <v>23</v>
      </c>
      <c r="P17">
        <v>55</v>
      </c>
    </row>
    <row r="18" spans="1:16" x14ac:dyDescent="0.25">
      <c r="A18" s="9">
        <v>10018</v>
      </c>
      <c r="B18" s="9" t="s">
        <v>561</v>
      </c>
      <c r="C18" s="10">
        <v>1</v>
      </c>
      <c r="D18" s="9">
        <v>1</v>
      </c>
      <c r="E18" s="11" t="s">
        <v>517</v>
      </c>
      <c r="F18" s="9">
        <v>18</v>
      </c>
      <c r="G18" s="9" t="s">
        <v>563</v>
      </c>
      <c r="H18" s="9">
        <v>16</v>
      </c>
      <c r="I18" s="9">
        <v>149</v>
      </c>
      <c r="J18" s="11">
        <v>37</v>
      </c>
      <c r="K18" s="11">
        <v>54</v>
      </c>
      <c r="L18" s="11">
        <v>73</v>
      </c>
      <c r="M18" s="12">
        <v>28</v>
      </c>
      <c r="N18" s="1">
        <v>12</v>
      </c>
      <c r="O18">
        <v>15</v>
      </c>
      <c r="P18">
        <v>23</v>
      </c>
    </row>
    <row r="19" spans="1:16" x14ac:dyDescent="0.25">
      <c r="A19" s="9">
        <v>10019</v>
      </c>
      <c r="B19" s="9" t="s">
        <v>562</v>
      </c>
      <c r="C19" s="10">
        <v>1</v>
      </c>
      <c r="D19" s="9">
        <v>2</v>
      </c>
      <c r="E19" s="11" t="s">
        <v>517</v>
      </c>
      <c r="F19" s="9">
        <v>18</v>
      </c>
      <c r="G19" s="9">
        <v>63.5</v>
      </c>
      <c r="H19" s="9">
        <v>16</v>
      </c>
      <c r="I19" s="9">
        <v>94</v>
      </c>
      <c r="J19" s="11">
        <v>14</v>
      </c>
      <c r="K19" s="11">
        <v>56</v>
      </c>
      <c r="L19" s="11">
        <v>59</v>
      </c>
      <c r="M19" s="12">
        <v>44</v>
      </c>
      <c r="N19" s="1">
        <v>50</v>
      </c>
      <c r="O19">
        <v>8</v>
      </c>
      <c r="P19">
        <v>7</v>
      </c>
    </row>
    <row r="20" spans="1:16" x14ac:dyDescent="0.25">
      <c r="A20" s="9">
        <v>10020</v>
      </c>
      <c r="B20" s="9" t="s">
        <v>561</v>
      </c>
      <c r="C20" s="10">
        <v>1</v>
      </c>
      <c r="D20" s="9">
        <v>1</v>
      </c>
      <c r="E20" s="11" t="s">
        <v>517</v>
      </c>
      <c r="F20" s="9">
        <v>16</v>
      </c>
      <c r="G20" s="9">
        <v>66</v>
      </c>
      <c r="H20" s="9">
        <v>17</v>
      </c>
      <c r="I20" s="9">
        <v>239</v>
      </c>
      <c r="J20" s="11">
        <v>64</v>
      </c>
      <c r="K20" s="11">
        <v>43</v>
      </c>
      <c r="L20" s="11">
        <v>37</v>
      </c>
      <c r="M20" s="12">
        <v>40</v>
      </c>
      <c r="N20" s="1">
        <v>35</v>
      </c>
      <c r="O20">
        <v>28</v>
      </c>
      <c r="P20">
        <v>99</v>
      </c>
    </row>
    <row r="21" spans="1:16" x14ac:dyDescent="0.25">
      <c r="A21" s="9">
        <v>10021</v>
      </c>
      <c r="B21" s="9" t="s">
        <v>562</v>
      </c>
      <c r="C21" s="10">
        <v>1</v>
      </c>
      <c r="D21" s="9">
        <v>2</v>
      </c>
      <c r="E21" s="11" t="s">
        <v>517</v>
      </c>
      <c r="F21" s="9">
        <v>16</v>
      </c>
      <c r="G21" s="9">
        <v>59.5</v>
      </c>
      <c r="H21" s="9">
        <v>16</v>
      </c>
      <c r="I21" s="9">
        <v>202</v>
      </c>
      <c r="J21" s="11">
        <v>48</v>
      </c>
      <c r="K21" s="11">
        <v>27</v>
      </c>
      <c r="L21" s="11">
        <v>30</v>
      </c>
      <c r="M21" s="12">
        <v>36</v>
      </c>
      <c r="N21" s="1">
        <v>22</v>
      </c>
      <c r="O21">
        <v>26</v>
      </c>
      <c r="P21">
        <v>65</v>
      </c>
    </row>
    <row r="22" spans="1:16" x14ac:dyDescent="0.25">
      <c r="A22" s="9">
        <v>10022</v>
      </c>
      <c r="B22" s="9" t="s">
        <v>561</v>
      </c>
      <c r="C22" s="10">
        <v>1</v>
      </c>
      <c r="D22" s="9">
        <v>2</v>
      </c>
      <c r="E22" s="11" t="s">
        <v>517</v>
      </c>
      <c r="F22" s="9">
        <v>18</v>
      </c>
      <c r="G22" s="9">
        <v>66</v>
      </c>
      <c r="H22" s="9">
        <v>18</v>
      </c>
      <c r="I22" s="9">
        <v>231</v>
      </c>
      <c r="J22" s="11">
        <v>42</v>
      </c>
      <c r="K22" s="11">
        <v>57</v>
      </c>
      <c r="L22" s="11">
        <v>31</v>
      </c>
      <c r="M22" s="12">
        <v>49</v>
      </c>
      <c r="N22" s="1">
        <v>60</v>
      </c>
      <c r="O22">
        <v>22</v>
      </c>
      <c r="P22">
        <v>30</v>
      </c>
    </row>
    <row r="23" spans="1:16" x14ac:dyDescent="0.25">
      <c r="A23" s="9">
        <v>10023</v>
      </c>
      <c r="B23" s="9" t="s">
        <v>561</v>
      </c>
      <c r="C23" s="10">
        <v>2</v>
      </c>
      <c r="D23" s="9">
        <v>3</v>
      </c>
      <c r="E23" s="13" t="s">
        <v>517</v>
      </c>
      <c r="F23" s="9">
        <v>18</v>
      </c>
      <c r="G23" s="9">
        <v>59.5</v>
      </c>
      <c r="H23" s="9">
        <v>17</v>
      </c>
      <c r="I23" s="9">
        <v>217</v>
      </c>
      <c r="J23" s="11">
        <v>53</v>
      </c>
      <c r="K23" s="11">
        <v>25</v>
      </c>
      <c r="L23" s="11">
        <v>23</v>
      </c>
      <c r="M23" s="12">
        <v>49</v>
      </c>
      <c r="N23" s="1">
        <v>75</v>
      </c>
      <c r="O23">
        <v>28</v>
      </c>
      <c r="P23">
        <v>99</v>
      </c>
    </row>
    <row r="24" spans="1:16" x14ac:dyDescent="0.25">
      <c r="A24" s="9">
        <v>10024</v>
      </c>
      <c r="B24" s="9" t="s">
        <v>561</v>
      </c>
      <c r="C24" s="10">
        <v>1</v>
      </c>
      <c r="D24" s="9">
        <v>3</v>
      </c>
      <c r="E24" s="13" t="s">
        <v>517</v>
      </c>
      <c r="F24" s="9">
        <v>18</v>
      </c>
      <c r="G24" s="9" t="s">
        <v>563</v>
      </c>
      <c r="H24" s="9">
        <v>17</v>
      </c>
      <c r="I24" s="9">
        <v>236</v>
      </c>
      <c r="J24" s="11">
        <v>63</v>
      </c>
      <c r="K24" s="11">
        <v>101</v>
      </c>
      <c r="L24" s="11">
        <v>84</v>
      </c>
      <c r="M24" s="12">
        <v>30</v>
      </c>
      <c r="N24" s="1">
        <v>9</v>
      </c>
      <c r="O24">
        <v>19</v>
      </c>
      <c r="P24">
        <v>28</v>
      </c>
    </row>
    <row r="25" spans="1:16" x14ac:dyDescent="0.25">
      <c r="A25" s="9">
        <v>10025</v>
      </c>
      <c r="B25" s="9" t="s">
        <v>562</v>
      </c>
      <c r="C25" s="10">
        <v>2</v>
      </c>
      <c r="D25" s="9">
        <v>2</v>
      </c>
      <c r="E25" s="11" t="s">
        <v>517</v>
      </c>
      <c r="F25" s="9">
        <v>16</v>
      </c>
      <c r="G25" s="9" t="s">
        <v>563</v>
      </c>
      <c r="H25" s="9">
        <v>15</v>
      </c>
      <c r="I25" s="9">
        <v>292</v>
      </c>
      <c r="J25" s="11">
        <v>87</v>
      </c>
      <c r="K25" s="11">
        <v>62</v>
      </c>
      <c r="L25" s="11">
        <v>76</v>
      </c>
      <c r="M25" s="12">
        <v>41</v>
      </c>
      <c r="N25" s="1">
        <v>55</v>
      </c>
      <c r="O25">
        <v>18</v>
      </c>
      <c r="P25">
        <v>30</v>
      </c>
    </row>
    <row r="26" spans="1:16" x14ac:dyDescent="0.25">
      <c r="A26" s="9">
        <v>10026</v>
      </c>
      <c r="B26" s="9" t="s">
        <v>562</v>
      </c>
      <c r="C26" s="10">
        <v>1</v>
      </c>
      <c r="D26" s="9">
        <v>1</v>
      </c>
      <c r="E26" s="11" t="s">
        <v>517</v>
      </c>
      <c r="F26" s="9">
        <v>16</v>
      </c>
      <c r="G26" s="9">
        <v>63</v>
      </c>
      <c r="H26" s="9">
        <v>15</v>
      </c>
      <c r="I26" s="9">
        <v>213</v>
      </c>
      <c r="J26" s="11">
        <v>64</v>
      </c>
      <c r="K26" s="11">
        <v>12</v>
      </c>
      <c r="L26" s="11">
        <v>29</v>
      </c>
      <c r="M26" s="12">
        <v>31</v>
      </c>
      <c r="N26" s="1">
        <v>20</v>
      </c>
      <c r="O26">
        <v>12</v>
      </c>
      <c r="P26">
        <v>14</v>
      </c>
    </row>
    <row r="27" spans="1:16" x14ac:dyDescent="0.25">
      <c r="A27" s="9">
        <v>10027</v>
      </c>
      <c r="B27" s="9" t="s">
        <v>561</v>
      </c>
      <c r="C27" s="10">
        <v>2</v>
      </c>
      <c r="D27" s="9">
        <v>2</v>
      </c>
      <c r="E27" s="11" t="s">
        <v>517</v>
      </c>
      <c r="F27" s="9">
        <v>18</v>
      </c>
      <c r="G27" s="9">
        <v>66</v>
      </c>
      <c r="H27" s="9">
        <v>16</v>
      </c>
      <c r="I27" s="9">
        <v>358</v>
      </c>
      <c r="J27" s="11">
        <v>99</v>
      </c>
      <c r="K27" s="11">
        <v>1</v>
      </c>
      <c r="L27" s="11">
        <v>5</v>
      </c>
      <c r="M27" s="12">
        <v>35</v>
      </c>
      <c r="N27" s="1">
        <v>28</v>
      </c>
      <c r="O27">
        <v>27</v>
      </c>
      <c r="P27">
        <v>90</v>
      </c>
    </row>
    <row r="28" spans="1:16" x14ac:dyDescent="0.25">
      <c r="A28" s="9">
        <v>10028</v>
      </c>
      <c r="B28" s="9" t="s">
        <v>561</v>
      </c>
      <c r="C28" s="10">
        <v>1</v>
      </c>
      <c r="D28" s="9">
        <v>1</v>
      </c>
      <c r="E28" s="11" t="s">
        <v>517</v>
      </c>
      <c r="F28" s="9">
        <v>16</v>
      </c>
      <c r="G28" s="9">
        <v>58</v>
      </c>
      <c r="H28" s="9">
        <v>17</v>
      </c>
      <c r="I28" s="9">
        <v>176</v>
      </c>
      <c r="J28" s="11">
        <v>34</v>
      </c>
      <c r="K28" s="11">
        <v>52</v>
      </c>
      <c r="L28" s="11">
        <v>50</v>
      </c>
      <c r="M28" s="12">
        <v>36</v>
      </c>
      <c r="N28" s="1">
        <v>18</v>
      </c>
      <c r="O28">
        <v>23</v>
      </c>
      <c r="P28">
        <v>50</v>
      </c>
    </row>
    <row r="29" spans="1:16" x14ac:dyDescent="0.25">
      <c r="A29" s="9">
        <v>10029</v>
      </c>
      <c r="B29" s="9" t="s">
        <v>562</v>
      </c>
      <c r="C29" s="10">
        <v>2</v>
      </c>
      <c r="D29" s="9">
        <v>2</v>
      </c>
      <c r="E29" s="11" t="s">
        <v>515</v>
      </c>
      <c r="F29" s="9">
        <v>18</v>
      </c>
      <c r="G29" s="9">
        <v>63.5</v>
      </c>
      <c r="H29" s="9">
        <v>17</v>
      </c>
      <c r="I29" s="9">
        <v>233</v>
      </c>
      <c r="J29" s="11">
        <v>46</v>
      </c>
      <c r="K29" s="11">
        <v>126</v>
      </c>
      <c r="L29" s="11">
        <v>76</v>
      </c>
      <c r="M29" s="12">
        <v>37</v>
      </c>
      <c r="N29" s="1">
        <v>15</v>
      </c>
      <c r="O29">
        <v>27</v>
      </c>
      <c r="P29">
        <v>75</v>
      </c>
    </row>
    <row r="30" spans="1:16" x14ac:dyDescent="0.25">
      <c r="A30" s="9">
        <v>10030</v>
      </c>
      <c r="B30" s="9" t="s">
        <v>561</v>
      </c>
      <c r="C30" s="10">
        <v>1</v>
      </c>
      <c r="D30" s="9">
        <v>1</v>
      </c>
      <c r="E30" s="11" t="s">
        <v>517</v>
      </c>
      <c r="F30" s="9">
        <v>18</v>
      </c>
      <c r="G30" s="9">
        <v>63.5</v>
      </c>
      <c r="H30" s="9">
        <v>17</v>
      </c>
      <c r="I30" s="9">
        <v>139</v>
      </c>
      <c r="J30" s="11">
        <v>22</v>
      </c>
      <c r="K30" s="11">
        <v>17</v>
      </c>
      <c r="L30" s="11">
        <v>17</v>
      </c>
      <c r="M30" s="12">
        <v>32</v>
      </c>
      <c r="N30" s="1">
        <v>12</v>
      </c>
      <c r="O30">
        <v>22</v>
      </c>
      <c r="P30">
        <v>40</v>
      </c>
    </row>
    <row r="31" spans="1:16" x14ac:dyDescent="0.25">
      <c r="A31" s="9">
        <v>10031</v>
      </c>
      <c r="B31" s="9" t="s">
        <v>562</v>
      </c>
      <c r="C31" s="10">
        <v>1</v>
      </c>
      <c r="D31" s="9">
        <v>1</v>
      </c>
      <c r="E31" s="11" t="s">
        <v>517</v>
      </c>
      <c r="F31" s="9">
        <v>16</v>
      </c>
      <c r="G31" s="9">
        <v>63</v>
      </c>
      <c r="H31" s="9">
        <v>17</v>
      </c>
      <c r="I31" s="9">
        <v>351</v>
      </c>
      <c r="J31" s="11">
        <v>91</v>
      </c>
      <c r="K31" s="11">
        <v>289</v>
      </c>
      <c r="L31" s="11">
        <v>96</v>
      </c>
      <c r="M31" s="12">
        <v>40</v>
      </c>
      <c r="N31" s="1">
        <v>20</v>
      </c>
      <c r="O31">
        <v>27</v>
      </c>
      <c r="P31">
        <v>75</v>
      </c>
    </row>
    <row r="32" spans="1:16" x14ac:dyDescent="0.25">
      <c r="A32" s="9">
        <v>10032</v>
      </c>
      <c r="B32" s="9" t="s">
        <v>562</v>
      </c>
      <c r="C32" s="10">
        <v>1</v>
      </c>
      <c r="D32" s="9">
        <v>2</v>
      </c>
      <c r="E32" s="11" t="s">
        <v>517</v>
      </c>
      <c r="F32" s="9">
        <v>18</v>
      </c>
      <c r="G32" s="9">
        <v>55.5</v>
      </c>
      <c r="H32" s="9">
        <v>16</v>
      </c>
      <c r="I32" s="9">
        <v>144</v>
      </c>
      <c r="J32" s="11">
        <v>27</v>
      </c>
      <c r="K32" s="11">
        <v>48</v>
      </c>
      <c r="L32" s="11">
        <v>55</v>
      </c>
      <c r="M32" s="12">
        <v>41</v>
      </c>
      <c r="N32" s="1">
        <v>35</v>
      </c>
      <c r="O32">
        <v>18</v>
      </c>
      <c r="P32">
        <v>23</v>
      </c>
    </row>
    <row r="33" spans="1:16" x14ac:dyDescent="0.25">
      <c r="A33" s="9">
        <v>10033</v>
      </c>
      <c r="B33" s="9" t="s">
        <v>561</v>
      </c>
      <c r="C33" s="10">
        <v>2</v>
      </c>
      <c r="D33" s="9">
        <v>2</v>
      </c>
      <c r="E33" s="11" t="s">
        <v>517</v>
      </c>
      <c r="F33" s="9">
        <v>16</v>
      </c>
      <c r="G33" s="9">
        <v>60.5</v>
      </c>
      <c r="H33" s="9">
        <v>16</v>
      </c>
      <c r="I33" s="9">
        <v>65</v>
      </c>
      <c r="J33" s="11">
        <v>10</v>
      </c>
      <c r="K33" s="11">
        <v>16</v>
      </c>
      <c r="L33" s="11">
        <v>30</v>
      </c>
      <c r="M33" s="12">
        <v>35</v>
      </c>
      <c r="N33" s="1">
        <v>28</v>
      </c>
      <c r="O33">
        <v>18</v>
      </c>
      <c r="P33">
        <v>30</v>
      </c>
    </row>
    <row r="34" spans="1:16" x14ac:dyDescent="0.25">
      <c r="A34" s="9">
        <v>10034</v>
      </c>
      <c r="B34" s="9" t="s">
        <v>562</v>
      </c>
      <c r="C34" s="10">
        <v>1</v>
      </c>
      <c r="D34" s="9">
        <v>3</v>
      </c>
      <c r="E34" s="11" t="s">
        <v>517</v>
      </c>
      <c r="F34" s="9">
        <v>18</v>
      </c>
      <c r="G34" s="9">
        <v>63</v>
      </c>
      <c r="H34" s="9">
        <v>17</v>
      </c>
      <c r="I34" s="9">
        <v>104</v>
      </c>
      <c r="J34" s="11">
        <v>10</v>
      </c>
      <c r="K34" s="11">
        <v>40</v>
      </c>
      <c r="L34" s="11">
        <v>24</v>
      </c>
      <c r="M34" s="12">
        <v>37</v>
      </c>
      <c r="N34" s="1">
        <v>15</v>
      </c>
      <c r="O34">
        <v>16</v>
      </c>
      <c r="P34">
        <v>14</v>
      </c>
    </row>
    <row r="35" spans="1:16" x14ac:dyDescent="0.25">
      <c r="A35" s="9">
        <v>10035</v>
      </c>
      <c r="B35" s="9" t="s">
        <v>561</v>
      </c>
      <c r="C35" s="10">
        <v>1</v>
      </c>
      <c r="D35" s="9">
        <v>2</v>
      </c>
      <c r="E35" s="11" t="s">
        <v>515</v>
      </c>
      <c r="F35" s="9">
        <v>17</v>
      </c>
      <c r="G35" s="9">
        <v>63.5</v>
      </c>
      <c r="H35" s="9">
        <v>16</v>
      </c>
      <c r="I35" s="9">
        <v>52</v>
      </c>
      <c r="J35" s="11">
        <v>7</v>
      </c>
      <c r="K35" s="11">
        <v>9</v>
      </c>
      <c r="L35" s="11">
        <v>20</v>
      </c>
      <c r="M35" s="12">
        <v>30</v>
      </c>
      <c r="N35" s="1">
        <v>15</v>
      </c>
      <c r="O35">
        <v>14</v>
      </c>
      <c r="P35">
        <v>20</v>
      </c>
    </row>
    <row r="36" spans="1:16" x14ac:dyDescent="0.25">
      <c r="A36" s="9">
        <v>10036</v>
      </c>
      <c r="B36" s="9" t="s">
        <v>561</v>
      </c>
      <c r="C36" s="10">
        <v>1</v>
      </c>
      <c r="D36" s="9">
        <v>1</v>
      </c>
      <c r="E36" s="11" t="s">
        <v>517</v>
      </c>
      <c r="F36" s="9">
        <v>16</v>
      </c>
      <c r="G36" s="9">
        <v>56</v>
      </c>
      <c r="H36" s="9">
        <v>16</v>
      </c>
      <c r="I36" s="9">
        <v>378</v>
      </c>
      <c r="J36" s="11">
        <v>99</v>
      </c>
      <c r="K36" s="11">
        <v>161</v>
      </c>
      <c r="L36" s="11">
        <v>97</v>
      </c>
      <c r="M36" s="12">
        <v>56</v>
      </c>
      <c r="N36" s="1">
        <v>97</v>
      </c>
      <c r="O36">
        <v>28</v>
      </c>
      <c r="P36">
        <v>99</v>
      </c>
    </row>
    <row r="37" spans="1:16" x14ac:dyDescent="0.25">
      <c r="A37" s="9">
        <v>10037</v>
      </c>
      <c r="B37" s="9" t="s">
        <v>561</v>
      </c>
      <c r="C37" s="10">
        <v>2</v>
      </c>
      <c r="D37" s="9">
        <v>2</v>
      </c>
      <c r="E37" s="13" t="s">
        <v>517</v>
      </c>
      <c r="F37" s="9">
        <v>18</v>
      </c>
      <c r="G37" s="9">
        <v>59.5</v>
      </c>
      <c r="H37" s="9">
        <v>16</v>
      </c>
      <c r="I37" s="9">
        <v>169</v>
      </c>
      <c r="J37" s="11">
        <v>46</v>
      </c>
      <c r="K37" s="11">
        <v>5</v>
      </c>
      <c r="L37" s="11">
        <v>14</v>
      </c>
      <c r="M37" s="12">
        <v>33</v>
      </c>
      <c r="N37" s="1">
        <v>20</v>
      </c>
      <c r="O37">
        <v>25</v>
      </c>
      <c r="P37">
        <v>70</v>
      </c>
    </row>
    <row r="38" spans="1:16" x14ac:dyDescent="0.25">
      <c r="A38" s="9">
        <v>10038</v>
      </c>
      <c r="B38" s="9" t="s">
        <v>561</v>
      </c>
      <c r="C38" s="10">
        <v>2</v>
      </c>
      <c r="D38" s="9">
        <v>2</v>
      </c>
      <c r="E38" s="13" t="s">
        <v>517</v>
      </c>
      <c r="F38" s="9">
        <v>18</v>
      </c>
      <c r="G38" s="9" t="s">
        <v>563</v>
      </c>
      <c r="H38" s="9">
        <v>999</v>
      </c>
      <c r="I38" s="9">
        <v>999</v>
      </c>
      <c r="J38" s="11">
        <v>999</v>
      </c>
      <c r="K38" s="11">
        <v>999</v>
      </c>
      <c r="L38" s="11">
        <v>999</v>
      </c>
      <c r="M38" s="12">
        <v>999</v>
      </c>
      <c r="N38" s="1">
        <v>999</v>
      </c>
      <c r="O38">
        <v>999</v>
      </c>
      <c r="P38">
        <v>999</v>
      </c>
    </row>
    <row r="39" spans="1:16" x14ac:dyDescent="0.25">
      <c r="A39" s="9">
        <v>10039</v>
      </c>
      <c r="B39" s="9" t="s">
        <v>561</v>
      </c>
      <c r="C39" s="10">
        <v>1</v>
      </c>
      <c r="D39" s="9">
        <v>2</v>
      </c>
      <c r="E39" s="11" t="s">
        <v>518</v>
      </c>
      <c r="F39" s="9">
        <v>18</v>
      </c>
      <c r="G39" s="9" t="s">
        <v>563</v>
      </c>
      <c r="H39" s="9">
        <v>17</v>
      </c>
      <c r="I39" s="9">
        <v>12</v>
      </c>
      <c r="J39" s="11">
        <v>0</v>
      </c>
      <c r="K39" s="11">
        <v>2</v>
      </c>
      <c r="L39" s="11">
        <v>7</v>
      </c>
      <c r="M39" s="12">
        <v>17</v>
      </c>
      <c r="N39" s="1">
        <v>0</v>
      </c>
      <c r="O39">
        <v>3</v>
      </c>
      <c r="P39">
        <v>0</v>
      </c>
    </row>
    <row r="40" spans="1:16" x14ac:dyDescent="0.25">
      <c r="A40" s="9">
        <v>10040</v>
      </c>
      <c r="B40" s="9" t="s">
        <v>562</v>
      </c>
      <c r="C40" s="10">
        <v>1</v>
      </c>
      <c r="D40" s="9">
        <v>2</v>
      </c>
      <c r="E40" s="11" t="s">
        <v>517</v>
      </c>
      <c r="F40" s="9">
        <v>18</v>
      </c>
      <c r="G40" s="9">
        <v>61</v>
      </c>
      <c r="H40" s="9">
        <v>16</v>
      </c>
      <c r="I40" s="9">
        <v>325</v>
      </c>
      <c r="J40" s="11">
        <v>89</v>
      </c>
      <c r="K40" s="11">
        <v>137</v>
      </c>
      <c r="L40" s="11">
        <v>88</v>
      </c>
      <c r="M40" s="12">
        <v>51</v>
      </c>
      <c r="N40" s="1">
        <v>78</v>
      </c>
      <c r="O40">
        <v>28</v>
      </c>
      <c r="P40">
        <v>99</v>
      </c>
    </row>
    <row r="41" spans="1:16" x14ac:dyDescent="0.25">
      <c r="A41" s="9">
        <v>10041</v>
      </c>
      <c r="B41" s="9" t="s">
        <v>562</v>
      </c>
      <c r="C41" s="10">
        <v>1</v>
      </c>
      <c r="D41" s="9">
        <v>3</v>
      </c>
      <c r="E41" s="11" t="s">
        <v>517</v>
      </c>
      <c r="F41" s="9">
        <v>16</v>
      </c>
      <c r="G41" s="9">
        <v>64.5</v>
      </c>
      <c r="H41" s="9">
        <v>16</v>
      </c>
      <c r="I41" s="9">
        <v>156</v>
      </c>
      <c r="J41" s="11">
        <v>31</v>
      </c>
      <c r="K41" s="11">
        <v>43</v>
      </c>
      <c r="L41" s="11">
        <v>52</v>
      </c>
      <c r="M41" s="12">
        <v>45</v>
      </c>
      <c r="N41" s="1">
        <v>55</v>
      </c>
      <c r="O41">
        <v>23</v>
      </c>
      <c r="P41">
        <v>50</v>
      </c>
    </row>
    <row r="42" spans="1:16" x14ac:dyDescent="0.25">
      <c r="A42" s="9">
        <v>10042</v>
      </c>
      <c r="B42" s="9" t="s">
        <v>562</v>
      </c>
      <c r="C42" s="10">
        <v>1</v>
      </c>
      <c r="D42" s="9">
        <v>1</v>
      </c>
      <c r="E42" s="11" t="s">
        <v>515</v>
      </c>
      <c r="F42" s="9">
        <v>18</v>
      </c>
      <c r="G42" s="9">
        <v>66</v>
      </c>
      <c r="H42" s="9">
        <v>17</v>
      </c>
      <c r="I42" s="9">
        <v>201</v>
      </c>
      <c r="J42" s="11">
        <v>34</v>
      </c>
      <c r="K42" s="11">
        <v>47</v>
      </c>
      <c r="L42" s="11">
        <v>29</v>
      </c>
      <c r="M42" s="12">
        <v>44</v>
      </c>
      <c r="N42" s="1">
        <v>30</v>
      </c>
      <c r="O42">
        <v>22</v>
      </c>
      <c r="P42">
        <v>30</v>
      </c>
    </row>
    <row r="43" spans="1:16" x14ac:dyDescent="0.25">
      <c r="A43" s="9">
        <v>10043</v>
      </c>
      <c r="B43" s="9" t="s">
        <v>562</v>
      </c>
      <c r="C43" s="10">
        <v>3</v>
      </c>
      <c r="D43" s="9">
        <v>3</v>
      </c>
      <c r="E43" s="11" t="s">
        <v>517</v>
      </c>
      <c r="F43" s="9">
        <v>16</v>
      </c>
      <c r="G43" s="9">
        <v>58</v>
      </c>
      <c r="H43" s="9">
        <v>16</v>
      </c>
      <c r="I43" s="9">
        <v>247</v>
      </c>
      <c r="J43" s="11">
        <v>64</v>
      </c>
      <c r="K43" s="11">
        <v>80</v>
      </c>
      <c r="L43" s="11">
        <v>72</v>
      </c>
      <c r="M43" s="12">
        <v>37</v>
      </c>
      <c r="N43" s="1">
        <v>24</v>
      </c>
      <c r="O43">
        <v>25</v>
      </c>
      <c r="P43">
        <v>60</v>
      </c>
    </row>
    <row r="44" spans="1:16" x14ac:dyDescent="0.25">
      <c r="A44" s="9">
        <v>10044</v>
      </c>
      <c r="B44" s="9" t="s">
        <v>562</v>
      </c>
      <c r="C44" s="10">
        <v>3</v>
      </c>
      <c r="D44" s="9">
        <v>3</v>
      </c>
      <c r="E44" s="11" t="s">
        <v>517</v>
      </c>
      <c r="F44" s="9">
        <v>16</v>
      </c>
      <c r="G44" s="9">
        <v>66</v>
      </c>
      <c r="H44" s="9">
        <v>16</v>
      </c>
      <c r="I44" s="9">
        <v>174</v>
      </c>
      <c r="J44" s="11">
        <v>37</v>
      </c>
      <c r="K44" s="11">
        <v>64</v>
      </c>
      <c r="L44" s="11">
        <v>64</v>
      </c>
      <c r="M44" s="12">
        <v>45</v>
      </c>
      <c r="N44" s="1">
        <v>55</v>
      </c>
      <c r="O44">
        <v>19</v>
      </c>
      <c r="P44">
        <v>25</v>
      </c>
    </row>
    <row r="45" spans="1:16" x14ac:dyDescent="0.25">
      <c r="A45" s="9">
        <v>10045</v>
      </c>
      <c r="B45" s="9" t="s">
        <v>562</v>
      </c>
      <c r="C45" s="10">
        <v>2</v>
      </c>
      <c r="D45" s="9">
        <v>2</v>
      </c>
      <c r="E45" s="11" t="s">
        <v>515</v>
      </c>
      <c r="F45" s="9">
        <v>16</v>
      </c>
      <c r="G45" s="9">
        <v>58</v>
      </c>
      <c r="H45" s="9">
        <v>15</v>
      </c>
      <c r="I45" s="9">
        <v>57</v>
      </c>
      <c r="J45" s="11">
        <v>9</v>
      </c>
      <c r="K45" s="11">
        <v>13</v>
      </c>
      <c r="L45" s="11">
        <v>30</v>
      </c>
      <c r="M45" s="12">
        <v>27</v>
      </c>
      <c r="N45" s="1">
        <v>14</v>
      </c>
      <c r="O45">
        <v>13</v>
      </c>
      <c r="P45">
        <v>15</v>
      </c>
    </row>
    <row r="46" spans="1:16" x14ac:dyDescent="0.25">
      <c r="A46" s="9">
        <v>10046</v>
      </c>
      <c r="B46" s="9" t="s">
        <v>562</v>
      </c>
      <c r="C46" s="10">
        <v>1</v>
      </c>
      <c r="D46" s="9">
        <v>1</v>
      </c>
      <c r="E46" s="11" t="s">
        <v>517</v>
      </c>
      <c r="F46" s="9">
        <v>14</v>
      </c>
      <c r="G46" s="9">
        <v>58</v>
      </c>
      <c r="H46" s="9">
        <v>17</v>
      </c>
      <c r="I46" s="9">
        <v>152</v>
      </c>
      <c r="J46" s="11">
        <v>21</v>
      </c>
      <c r="K46" s="11">
        <v>49</v>
      </c>
      <c r="L46" s="11">
        <v>30</v>
      </c>
      <c r="M46" s="12">
        <v>50</v>
      </c>
      <c r="N46" s="1">
        <v>60</v>
      </c>
      <c r="O46">
        <v>22</v>
      </c>
      <c r="P46">
        <v>30</v>
      </c>
    </row>
    <row r="47" spans="1:16" x14ac:dyDescent="0.25">
      <c r="A47" s="9">
        <v>10047</v>
      </c>
      <c r="B47" s="9" t="s">
        <v>562</v>
      </c>
      <c r="C47" s="10">
        <v>1</v>
      </c>
      <c r="D47" s="9">
        <v>1</v>
      </c>
      <c r="E47" s="11" t="s">
        <v>517</v>
      </c>
      <c r="F47" s="9">
        <v>18</v>
      </c>
      <c r="G47" s="9">
        <v>66</v>
      </c>
      <c r="H47" s="9">
        <v>15</v>
      </c>
      <c r="I47" s="9">
        <v>61</v>
      </c>
      <c r="J47" s="11">
        <v>11</v>
      </c>
      <c r="K47" s="11">
        <v>0</v>
      </c>
      <c r="L47" s="11">
        <v>5</v>
      </c>
      <c r="M47" s="12">
        <v>0</v>
      </c>
      <c r="N47" s="1">
        <v>0</v>
      </c>
      <c r="O47">
        <v>16</v>
      </c>
      <c r="P47">
        <v>23</v>
      </c>
    </row>
    <row r="48" spans="1:16" x14ac:dyDescent="0.25">
      <c r="A48" s="9">
        <v>10048</v>
      </c>
      <c r="B48" s="9" t="s">
        <v>562</v>
      </c>
      <c r="C48" s="10">
        <v>1</v>
      </c>
      <c r="D48" s="9">
        <v>2</v>
      </c>
      <c r="E48" s="11" t="s">
        <v>517</v>
      </c>
      <c r="F48" s="9">
        <v>16</v>
      </c>
      <c r="G48" s="9">
        <v>58</v>
      </c>
      <c r="H48" s="9">
        <v>16</v>
      </c>
      <c r="I48" s="9">
        <v>208</v>
      </c>
      <c r="J48" s="11">
        <v>49</v>
      </c>
      <c r="K48" s="11">
        <v>13</v>
      </c>
      <c r="L48" s="11">
        <v>15</v>
      </c>
      <c r="M48" s="12">
        <v>34</v>
      </c>
      <c r="N48" s="1">
        <v>18</v>
      </c>
      <c r="O48">
        <v>25</v>
      </c>
      <c r="P48">
        <v>60</v>
      </c>
    </row>
    <row r="49" spans="1:16" x14ac:dyDescent="0.25">
      <c r="A49" s="9">
        <v>10049</v>
      </c>
      <c r="B49" s="9" t="s">
        <v>562</v>
      </c>
      <c r="C49" s="10">
        <v>2</v>
      </c>
      <c r="D49" s="9">
        <v>2</v>
      </c>
      <c r="E49" s="11" t="s">
        <v>519</v>
      </c>
      <c r="F49" s="9">
        <v>18</v>
      </c>
      <c r="G49" s="9">
        <v>61</v>
      </c>
      <c r="H49" s="9">
        <v>16</v>
      </c>
      <c r="I49" s="9">
        <v>218</v>
      </c>
      <c r="J49" s="11">
        <v>53</v>
      </c>
      <c r="K49" s="11">
        <v>58</v>
      </c>
      <c r="L49" s="11">
        <v>60</v>
      </c>
      <c r="M49" s="12">
        <v>45</v>
      </c>
      <c r="N49" s="1">
        <v>55</v>
      </c>
      <c r="O49">
        <v>25</v>
      </c>
      <c r="P49">
        <v>60</v>
      </c>
    </row>
    <row r="50" spans="1:16" x14ac:dyDescent="0.25">
      <c r="A50" s="9">
        <v>10050</v>
      </c>
      <c r="B50" s="9" t="s">
        <v>562</v>
      </c>
      <c r="C50" s="10">
        <v>2</v>
      </c>
      <c r="D50" s="9">
        <v>2</v>
      </c>
      <c r="E50" s="11" t="s">
        <v>515</v>
      </c>
      <c r="F50" s="9">
        <v>18</v>
      </c>
      <c r="G50" s="9">
        <v>63.5</v>
      </c>
      <c r="H50" s="9">
        <v>15</v>
      </c>
      <c r="I50" s="9">
        <v>116</v>
      </c>
      <c r="J50" s="11">
        <v>28</v>
      </c>
      <c r="K50" s="11">
        <v>17</v>
      </c>
      <c r="L50" s="11">
        <v>38</v>
      </c>
      <c r="M50" s="12">
        <v>36</v>
      </c>
      <c r="N50" s="1">
        <v>33</v>
      </c>
      <c r="O50">
        <v>14</v>
      </c>
      <c r="P50">
        <v>18</v>
      </c>
    </row>
    <row r="51" spans="1:16" x14ac:dyDescent="0.25">
      <c r="A51" s="9">
        <v>10051</v>
      </c>
      <c r="B51" s="9" t="s">
        <v>562</v>
      </c>
      <c r="C51" s="10">
        <v>1</v>
      </c>
      <c r="D51" s="9">
        <v>1</v>
      </c>
      <c r="E51" s="11" t="s">
        <v>515</v>
      </c>
      <c r="F51" s="9">
        <v>18</v>
      </c>
      <c r="G51" s="9">
        <v>61</v>
      </c>
      <c r="H51" s="9">
        <v>17</v>
      </c>
      <c r="I51" s="9">
        <v>132</v>
      </c>
      <c r="J51" s="11">
        <v>17</v>
      </c>
      <c r="K51" s="11">
        <v>100</v>
      </c>
      <c r="L51" s="11">
        <v>67</v>
      </c>
      <c r="M51" s="12">
        <v>36</v>
      </c>
      <c r="N51" s="1">
        <v>14</v>
      </c>
      <c r="O51">
        <v>16</v>
      </c>
      <c r="P51">
        <v>14</v>
      </c>
    </row>
    <row r="52" spans="1:16" x14ac:dyDescent="0.25">
      <c r="A52" s="9">
        <v>10052</v>
      </c>
      <c r="B52" s="9" t="s">
        <v>562</v>
      </c>
      <c r="C52" s="10">
        <v>1</v>
      </c>
      <c r="D52" s="9">
        <v>2</v>
      </c>
      <c r="E52" s="11" t="s">
        <v>517</v>
      </c>
      <c r="F52" s="9">
        <v>16</v>
      </c>
      <c r="G52" s="9">
        <v>66</v>
      </c>
      <c r="H52" s="9">
        <v>16</v>
      </c>
      <c r="I52" s="9">
        <v>229</v>
      </c>
      <c r="J52" s="11">
        <v>58</v>
      </c>
      <c r="K52" s="11">
        <v>2</v>
      </c>
      <c r="L52" s="11">
        <v>7</v>
      </c>
      <c r="M52" s="12">
        <v>40</v>
      </c>
      <c r="N52" s="1">
        <v>33</v>
      </c>
      <c r="O52">
        <v>21</v>
      </c>
      <c r="P52">
        <v>35</v>
      </c>
    </row>
    <row r="53" spans="1:16" x14ac:dyDescent="0.25">
      <c r="A53" s="9">
        <v>10053</v>
      </c>
      <c r="B53" s="9" t="s">
        <v>562</v>
      </c>
      <c r="C53" s="10">
        <v>1</v>
      </c>
      <c r="D53" s="9">
        <v>1</v>
      </c>
      <c r="E53" s="11" t="s">
        <v>517</v>
      </c>
      <c r="F53" s="9">
        <v>16</v>
      </c>
      <c r="G53" s="9">
        <v>58</v>
      </c>
      <c r="H53" s="9">
        <v>16</v>
      </c>
      <c r="I53" s="9">
        <v>166</v>
      </c>
      <c r="J53" s="11">
        <v>34</v>
      </c>
      <c r="K53" s="11">
        <v>47</v>
      </c>
      <c r="L53" s="11">
        <v>54</v>
      </c>
      <c r="M53" s="12">
        <v>46</v>
      </c>
      <c r="N53" s="1">
        <v>58</v>
      </c>
      <c r="O53">
        <v>16</v>
      </c>
      <c r="P53">
        <v>18</v>
      </c>
    </row>
    <row r="54" spans="1:16" x14ac:dyDescent="0.25">
      <c r="A54" s="9">
        <v>10054</v>
      </c>
      <c r="B54" s="9" t="s">
        <v>561</v>
      </c>
      <c r="C54" s="10">
        <v>1</v>
      </c>
      <c r="D54" s="9">
        <v>2</v>
      </c>
      <c r="E54" s="11" t="s">
        <v>517</v>
      </c>
      <c r="F54" s="9">
        <v>16</v>
      </c>
      <c r="G54" s="9">
        <v>66</v>
      </c>
      <c r="H54" s="9">
        <v>16</v>
      </c>
      <c r="I54" s="9">
        <v>378</v>
      </c>
      <c r="J54" s="11">
        <v>99</v>
      </c>
      <c r="K54" s="11">
        <v>64</v>
      </c>
      <c r="L54" s="11">
        <v>80</v>
      </c>
      <c r="M54" s="12">
        <v>54</v>
      </c>
      <c r="N54" s="1">
        <v>95</v>
      </c>
      <c r="O54">
        <v>26</v>
      </c>
      <c r="P54">
        <v>80</v>
      </c>
    </row>
    <row r="55" spans="1:16" x14ac:dyDescent="0.25">
      <c r="A55" s="9">
        <v>10055</v>
      </c>
      <c r="B55" s="9" t="s">
        <v>562</v>
      </c>
      <c r="C55" s="10">
        <v>2</v>
      </c>
      <c r="D55" s="9">
        <v>3</v>
      </c>
      <c r="E55" s="11" t="s">
        <v>517</v>
      </c>
      <c r="F55" s="9">
        <v>16</v>
      </c>
      <c r="G55" s="9">
        <v>53</v>
      </c>
      <c r="H55" s="9">
        <v>15</v>
      </c>
      <c r="I55" s="9">
        <v>170</v>
      </c>
      <c r="J55" s="11">
        <v>49</v>
      </c>
      <c r="K55" s="11">
        <v>41</v>
      </c>
      <c r="L55" s="11">
        <v>63</v>
      </c>
      <c r="M55" s="12">
        <v>59</v>
      </c>
      <c r="N55" s="1">
        <v>98</v>
      </c>
      <c r="O55">
        <v>26</v>
      </c>
      <c r="P55">
        <v>75</v>
      </c>
    </row>
    <row r="56" spans="1:16" x14ac:dyDescent="0.25">
      <c r="A56" s="9">
        <v>10056</v>
      </c>
      <c r="B56" s="9" t="s">
        <v>561</v>
      </c>
      <c r="C56" s="10">
        <v>1</v>
      </c>
      <c r="D56" s="9">
        <v>2</v>
      </c>
      <c r="E56" s="11" t="s">
        <v>517</v>
      </c>
      <c r="F56" s="9">
        <v>15</v>
      </c>
      <c r="G56" s="9">
        <v>31.5</v>
      </c>
      <c r="H56" s="9">
        <v>15</v>
      </c>
      <c r="I56" s="9">
        <v>147</v>
      </c>
      <c r="J56" s="11">
        <v>52</v>
      </c>
      <c r="K56" s="11">
        <v>37</v>
      </c>
      <c r="L56" s="11">
        <v>74</v>
      </c>
      <c r="M56" s="12">
        <v>30</v>
      </c>
      <c r="N56" s="1">
        <v>25</v>
      </c>
      <c r="O56">
        <v>24</v>
      </c>
      <c r="P56">
        <v>70</v>
      </c>
    </row>
    <row r="57" spans="1:16" x14ac:dyDescent="0.25">
      <c r="A57" s="9">
        <v>10057</v>
      </c>
      <c r="B57" s="9" t="s">
        <v>562</v>
      </c>
      <c r="C57" s="10">
        <v>2</v>
      </c>
      <c r="D57" s="9">
        <v>2</v>
      </c>
      <c r="E57" s="11" t="s">
        <v>515</v>
      </c>
      <c r="F57" s="9">
        <v>16</v>
      </c>
      <c r="G57" s="9">
        <v>63</v>
      </c>
      <c r="H57" s="9">
        <v>16</v>
      </c>
      <c r="I57" s="9">
        <v>289</v>
      </c>
      <c r="J57" s="11">
        <v>79</v>
      </c>
      <c r="K57" s="11">
        <v>45</v>
      </c>
      <c r="L57" s="11">
        <v>53</v>
      </c>
      <c r="M57" s="12">
        <v>33</v>
      </c>
      <c r="N57" s="1">
        <v>15</v>
      </c>
      <c r="O57">
        <v>19</v>
      </c>
      <c r="P57">
        <v>25</v>
      </c>
    </row>
    <row r="58" spans="1:16" x14ac:dyDescent="0.25">
      <c r="A58" s="9">
        <v>10058</v>
      </c>
      <c r="B58" s="9" t="s">
        <v>561</v>
      </c>
      <c r="C58" s="10">
        <v>1</v>
      </c>
      <c r="D58" s="9">
        <v>3</v>
      </c>
      <c r="E58" s="11" t="s">
        <v>517</v>
      </c>
      <c r="F58" s="9">
        <v>18</v>
      </c>
      <c r="G58" s="9">
        <v>63.5</v>
      </c>
      <c r="H58" s="9">
        <v>15</v>
      </c>
      <c r="I58" s="9">
        <v>109</v>
      </c>
      <c r="J58" s="11">
        <v>32</v>
      </c>
      <c r="K58" s="11">
        <v>6</v>
      </c>
      <c r="L58" s="11">
        <v>27</v>
      </c>
      <c r="M58" s="12">
        <v>0</v>
      </c>
      <c r="N58" s="1">
        <v>0</v>
      </c>
      <c r="O58">
        <v>17</v>
      </c>
      <c r="P58">
        <v>35</v>
      </c>
    </row>
    <row r="59" spans="1:16" x14ac:dyDescent="0.25">
      <c r="A59" s="9">
        <v>10059</v>
      </c>
      <c r="B59" s="9" t="s">
        <v>562</v>
      </c>
      <c r="C59" s="10">
        <v>1</v>
      </c>
      <c r="D59" s="9">
        <v>1</v>
      </c>
      <c r="E59" s="13" t="s">
        <v>515</v>
      </c>
      <c r="F59" s="9">
        <v>12</v>
      </c>
      <c r="G59" s="9">
        <v>43</v>
      </c>
      <c r="H59" s="9">
        <v>16</v>
      </c>
      <c r="I59" s="9">
        <v>50</v>
      </c>
      <c r="J59" s="11">
        <v>0</v>
      </c>
      <c r="K59" s="11">
        <v>19</v>
      </c>
      <c r="L59" s="11">
        <v>23</v>
      </c>
      <c r="M59" s="12">
        <v>37</v>
      </c>
      <c r="N59" s="1">
        <v>24</v>
      </c>
      <c r="O59">
        <v>18</v>
      </c>
      <c r="P59">
        <v>23</v>
      </c>
    </row>
    <row r="60" spans="1:16" x14ac:dyDescent="0.25">
      <c r="A60" s="9">
        <v>10060</v>
      </c>
      <c r="B60" s="9" t="s">
        <v>562</v>
      </c>
      <c r="C60" s="10">
        <v>1</v>
      </c>
      <c r="D60" s="9">
        <v>2</v>
      </c>
      <c r="E60" s="11" t="s">
        <v>517</v>
      </c>
      <c r="F60" s="9">
        <v>16</v>
      </c>
      <c r="G60" s="9" t="s">
        <v>563</v>
      </c>
      <c r="H60" s="9">
        <v>15</v>
      </c>
      <c r="I60" s="9">
        <v>109</v>
      </c>
      <c r="J60" s="11">
        <v>25</v>
      </c>
      <c r="K60" s="11">
        <v>12</v>
      </c>
      <c r="L60" s="11">
        <v>29</v>
      </c>
      <c r="M60" s="12">
        <v>51</v>
      </c>
      <c r="N60" s="1">
        <v>85</v>
      </c>
      <c r="O60">
        <v>20</v>
      </c>
      <c r="P60">
        <v>40</v>
      </c>
    </row>
    <row r="61" spans="1:16" x14ac:dyDescent="0.25">
      <c r="A61" s="9">
        <v>10061</v>
      </c>
      <c r="B61" s="9" t="s">
        <v>562</v>
      </c>
      <c r="C61" s="10">
        <v>2</v>
      </c>
      <c r="D61" s="9">
        <v>2</v>
      </c>
      <c r="E61" s="11" t="s">
        <v>519</v>
      </c>
      <c r="F61" s="9">
        <v>16</v>
      </c>
      <c r="G61" s="9">
        <v>63</v>
      </c>
      <c r="H61" s="9">
        <v>15</v>
      </c>
      <c r="I61" s="9">
        <v>125</v>
      </c>
      <c r="J61" s="11">
        <v>32</v>
      </c>
      <c r="K61" s="11">
        <v>46</v>
      </c>
      <c r="L61" s="11">
        <v>66</v>
      </c>
      <c r="M61" s="12">
        <v>42</v>
      </c>
      <c r="N61" s="1">
        <v>58</v>
      </c>
      <c r="O61">
        <v>16</v>
      </c>
      <c r="P61">
        <v>23</v>
      </c>
    </row>
    <row r="62" spans="1:16" x14ac:dyDescent="0.25">
      <c r="A62" s="9">
        <v>10062</v>
      </c>
      <c r="B62" s="9" t="s">
        <v>561</v>
      </c>
      <c r="C62" s="10">
        <v>1</v>
      </c>
      <c r="D62" s="9">
        <v>2</v>
      </c>
      <c r="E62" s="11" t="s">
        <v>517</v>
      </c>
      <c r="F62" s="9">
        <v>16</v>
      </c>
      <c r="G62" s="9">
        <v>53</v>
      </c>
      <c r="H62" s="9">
        <v>999</v>
      </c>
      <c r="I62" s="9">
        <v>999</v>
      </c>
      <c r="J62" s="11">
        <v>999</v>
      </c>
      <c r="K62" s="11">
        <v>999</v>
      </c>
      <c r="L62" s="11">
        <v>999</v>
      </c>
      <c r="M62" s="12">
        <v>999</v>
      </c>
      <c r="N62" s="1">
        <v>999</v>
      </c>
      <c r="O62">
        <v>999</v>
      </c>
      <c r="P62">
        <v>999</v>
      </c>
    </row>
    <row r="63" spans="1:16" x14ac:dyDescent="0.25">
      <c r="A63" s="9">
        <v>10063</v>
      </c>
      <c r="B63" s="9" t="s">
        <v>561</v>
      </c>
      <c r="C63" s="10">
        <v>1</v>
      </c>
      <c r="D63" s="9">
        <v>1</v>
      </c>
      <c r="E63" s="13" t="s">
        <v>517</v>
      </c>
      <c r="F63" s="9">
        <v>16</v>
      </c>
      <c r="G63" s="9">
        <v>63</v>
      </c>
      <c r="H63" s="9">
        <v>15</v>
      </c>
      <c r="I63" s="9">
        <v>232</v>
      </c>
      <c r="J63" s="11">
        <v>82</v>
      </c>
      <c r="K63" s="11">
        <v>37</v>
      </c>
      <c r="L63" s="11">
        <v>74</v>
      </c>
      <c r="M63" s="12">
        <v>24</v>
      </c>
      <c r="N63" s="1">
        <v>12</v>
      </c>
      <c r="O63">
        <v>15</v>
      </c>
      <c r="P63">
        <v>28</v>
      </c>
    </row>
    <row r="64" spans="1:16" x14ac:dyDescent="0.25">
      <c r="A64" s="9">
        <v>10064</v>
      </c>
      <c r="B64" s="9" t="s">
        <v>561</v>
      </c>
      <c r="C64" s="10">
        <v>1</v>
      </c>
      <c r="D64" s="9">
        <v>1</v>
      </c>
      <c r="E64" s="11" t="s">
        <v>519</v>
      </c>
      <c r="F64" s="9">
        <v>16</v>
      </c>
      <c r="G64" s="9" t="s">
        <v>563</v>
      </c>
      <c r="H64" s="9">
        <v>16</v>
      </c>
      <c r="I64" s="9">
        <v>181</v>
      </c>
      <c r="J64" s="11">
        <v>53</v>
      </c>
      <c r="K64" s="11">
        <v>105</v>
      </c>
      <c r="L64" s="11">
        <v>91</v>
      </c>
      <c r="M64" s="12">
        <v>40</v>
      </c>
      <c r="N64" s="1">
        <v>50</v>
      </c>
      <c r="O64">
        <v>21</v>
      </c>
      <c r="P64">
        <v>45</v>
      </c>
    </row>
    <row r="65" spans="1:16" x14ac:dyDescent="0.25">
      <c r="A65" s="9">
        <v>10065</v>
      </c>
      <c r="B65" s="9" t="s">
        <v>561</v>
      </c>
      <c r="C65" s="10">
        <v>2</v>
      </c>
      <c r="D65" s="9">
        <v>2</v>
      </c>
      <c r="E65" s="13" t="s">
        <v>518</v>
      </c>
      <c r="F65" s="9">
        <v>16</v>
      </c>
      <c r="G65" s="9">
        <v>63.5</v>
      </c>
      <c r="H65" s="9">
        <v>15</v>
      </c>
      <c r="I65" s="9">
        <v>178</v>
      </c>
      <c r="J65" s="11">
        <v>65</v>
      </c>
      <c r="K65" s="11">
        <v>71</v>
      </c>
      <c r="L65" s="11">
        <v>90</v>
      </c>
      <c r="M65" s="12">
        <v>31</v>
      </c>
      <c r="N65" s="1">
        <v>30</v>
      </c>
      <c r="O65">
        <v>19</v>
      </c>
      <c r="P65">
        <v>45</v>
      </c>
    </row>
    <row r="66" spans="1:16" x14ac:dyDescent="0.25">
      <c r="A66" s="9">
        <v>10066</v>
      </c>
      <c r="B66" s="9" t="s">
        <v>562</v>
      </c>
      <c r="C66" s="10">
        <v>1</v>
      </c>
      <c r="D66" s="9">
        <v>1</v>
      </c>
      <c r="E66" s="11" t="s">
        <v>517</v>
      </c>
      <c r="F66" s="9">
        <v>18</v>
      </c>
      <c r="G66" s="9" t="s">
        <v>563</v>
      </c>
      <c r="H66" s="9">
        <v>15</v>
      </c>
      <c r="I66" s="9">
        <v>62</v>
      </c>
      <c r="J66" s="11">
        <v>11</v>
      </c>
      <c r="K66" s="11">
        <v>14</v>
      </c>
      <c r="L66" s="11">
        <v>32</v>
      </c>
      <c r="M66" s="12">
        <v>25</v>
      </c>
      <c r="N66" s="1">
        <v>10</v>
      </c>
      <c r="O66">
        <v>19</v>
      </c>
      <c r="P66">
        <v>35</v>
      </c>
    </row>
    <row r="67" spans="1:16" x14ac:dyDescent="0.25">
      <c r="A67" s="9">
        <v>10067</v>
      </c>
      <c r="B67" s="9" t="s">
        <v>562</v>
      </c>
      <c r="C67" s="10">
        <v>1</v>
      </c>
      <c r="D67" s="9">
        <v>2</v>
      </c>
      <c r="E67" s="11" t="s">
        <v>517</v>
      </c>
      <c r="F67" s="9">
        <v>16</v>
      </c>
      <c r="G67" s="9">
        <v>61</v>
      </c>
      <c r="H67" s="9">
        <v>15</v>
      </c>
      <c r="I67" s="9">
        <v>102</v>
      </c>
      <c r="J67" s="11">
        <v>23</v>
      </c>
      <c r="K67" s="11">
        <v>46</v>
      </c>
      <c r="L67" s="11">
        <v>66</v>
      </c>
      <c r="M67" s="12">
        <v>33</v>
      </c>
      <c r="N67" s="1">
        <v>25</v>
      </c>
      <c r="O67">
        <v>13</v>
      </c>
      <c r="P67">
        <v>15</v>
      </c>
    </row>
    <row r="68" spans="1:16" x14ac:dyDescent="0.25">
      <c r="A68" s="9">
        <v>10068</v>
      </c>
      <c r="B68" s="9" t="s">
        <v>561</v>
      </c>
      <c r="C68" s="10">
        <v>2</v>
      </c>
      <c r="D68" s="9">
        <v>2</v>
      </c>
      <c r="E68" s="13" t="s">
        <v>515</v>
      </c>
      <c r="F68" s="9">
        <v>16</v>
      </c>
      <c r="G68" s="9">
        <v>53</v>
      </c>
      <c r="H68" s="9">
        <v>17</v>
      </c>
      <c r="I68" s="9">
        <v>116</v>
      </c>
      <c r="J68" s="11">
        <v>14</v>
      </c>
      <c r="K68" s="11">
        <v>1</v>
      </c>
      <c r="L68" s="11">
        <v>5</v>
      </c>
      <c r="M68" s="12">
        <v>30</v>
      </c>
      <c r="N68" s="1">
        <v>9</v>
      </c>
      <c r="O68">
        <v>17</v>
      </c>
      <c r="P68">
        <v>23</v>
      </c>
    </row>
    <row r="69" spans="1:16" x14ac:dyDescent="0.25">
      <c r="A69" s="9">
        <v>10069</v>
      </c>
      <c r="B69" s="9" t="s">
        <v>561</v>
      </c>
      <c r="C69" s="10">
        <v>1</v>
      </c>
      <c r="D69" s="9">
        <v>1</v>
      </c>
      <c r="E69" s="11" t="s">
        <v>519</v>
      </c>
      <c r="F69" s="9">
        <v>16</v>
      </c>
      <c r="G69" s="9" t="s">
        <v>563</v>
      </c>
      <c r="H69" s="9">
        <v>15</v>
      </c>
      <c r="I69" s="9">
        <v>48</v>
      </c>
      <c r="J69" s="11">
        <v>10</v>
      </c>
      <c r="K69" s="11">
        <v>19</v>
      </c>
      <c r="L69" s="11">
        <v>55</v>
      </c>
      <c r="M69" s="12">
        <v>17</v>
      </c>
      <c r="N69" s="1">
        <v>0</v>
      </c>
      <c r="O69">
        <v>13</v>
      </c>
      <c r="P69">
        <v>23</v>
      </c>
    </row>
    <row r="70" spans="1:16" x14ac:dyDescent="0.25">
      <c r="A70" s="9">
        <v>10070</v>
      </c>
      <c r="B70" s="9" t="s">
        <v>561</v>
      </c>
      <c r="C70" s="10">
        <v>1</v>
      </c>
      <c r="D70" s="9">
        <v>1</v>
      </c>
      <c r="E70" s="11" t="s">
        <v>517</v>
      </c>
      <c r="F70" s="9">
        <v>18</v>
      </c>
      <c r="G70" s="9">
        <v>63</v>
      </c>
      <c r="H70" s="9">
        <v>15</v>
      </c>
      <c r="I70" s="9">
        <v>63</v>
      </c>
      <c r="J70" s="11">
        <v>14</v>
      </c>
      <c r="K70" s="11">
        <v>1</v>
      </c>
      <c r="L70" s="11">
        <v>10</v>
      </c>
      <c r="M70" s="12">
        <v>30</v>
      </c>
      <c r="N70" s="1">
        <v>25</v>
      </c>
      <c r="O70">
        <v>8</v>
      </c>
      <c r="P70">
        <v>9</v>
      </c>
    </row>
    <row r="71" spans="1:16" x14ac:dyDescent="0.25">
      <c r="A71" s="9">
        <v>10071</v>
      </c>
      <c r="B71" s="9" t="s">
        <v>561</v>
      </c>
      <c r="C71" s="10">
        <v>2</v>
      </c>
      <c r="D71" s="9">
        <v>2</v>
      </c>
      <c r="E71" s="11" t="s">
        <v>517</v>
      </c>
      <c r="F71" s="9">
        <v>16</v>
      </c>
      <c r="G71" s="9">
        <v>63</v>
      </c>
      <c r="H71" s="9">
        <v>15</v>
      </c>
      <c r="I71" s="9">
        <v>55</v>
      </c>
      <c r="J71" s="11">
        <v>12</v>
      </c>
      <c r="K71" s="11">
        <v>0</v>
      </c>
      <c r="L71" s="11">
        <v>5</v>
      </c>
      <c r="M71" s="12">
        <v>22</v>
      </c>
      <c r="N71" s="1">
        <v>9</v>
      </c>
      <c r="O71">
        <v>13</v>
      </c>
      <c r="P71">
        <v>23</v>
      </c>
    </row>
    <row r="72" spans="1:16" x14ac:dyDescent="0.25">
      <c r="A72" s="9">
        <v>10072</v>
      </c>
      <c r="B72" s="9" t="s">
        <v>562</v>
      </c>
      <c r="C72" s="10">
        <v>2</v>
      </c>
      <c r="D72" s="9">
        <v>3</v>
      </c>
      <c r="E72" s="11" t="s">
        <v>519</v>
      </c>
      <c r="F72" s="9">
        <v>18</v>
      </c>
      <c r="G72" s="9">
        <v>58.5</v>
      </c>
      <c r="H72" s="9">
        <v>19</v>
      </c>
      <c r="I72" s="9">
        <v>326</v>
      </c>
      <c r="J72" s="11">
        <v>74</v>
      </c>
      <c r="K72" s="11">
        <v>90</v>
      </c>
      <c r="L72" s="11">
        <v>50</v>
      </c>
      <c r="M72" s="12">
        <v>50</v>
      </c>
      <c r="N72" s="1">
        <v>40</v>
      </c>
      <c r="O72">
        <v>24</v>
      </c>
      <c r="P72">
        <v>35</v>
      </c>
    </row>
    <row r="73" spans="1:16" x14ac:dyDescent="0.25">
      <c r="A73" s="9">
        <v>10073</v>
      </c>
      <c r="B73" s="9" t="s">
        <v>561</v>
      </c>
      <c r="C73" s="10">
        <v>3</v>
      </c>
      <c r="D73" s="9">
        <v>3</v>
      </c>
      <c r="E73" s="11" t="s">
        <v>517</v>
      </c>
      <c r="F73" s="9">
        <v>16</v>
      </c>
      <c r="G73" s="9">
        <v>63</v>
      </c>
      <c r="H73" s="9">
        <v>16</v>
      </c>
      <c r="I73" s="9">
        <v>21</v>
      </c>
      <c r="J73" s="11">
        <v>0</v>
      </c>
      <c r="K73" s="11">
        <v>7</v>
      </c>
      <c r="L73" s="11">
        <v>17</v>
      </c>
      <c r="M73" s="12">
        <v>25</v>
      </c>
      <c r="N73" s="1">
        <v>8</v>
      </c>
      <c r="O73">
        <v>8</v>
      </c>
      <c r="P73">
        <v>8</v>
      </c>
    </row>
    <row r="74" spans="1:16" x14ac:dyDescent="0.25">
      <c r="A74" s="9">
        <v>10074</v>
      </c>
      <c r="B74" s="9" t="s">
        <v>561</v>
      </c>
      <c r="C74" s="10">
        <v>1</v>
      </c>
      <c r="D74" s="9">
        <v>1</v>
      </c>
      <c r="E74" s="11" t="s">
        <v>517</v>
      </c>
      <c r="F74" s="9">
        <v>18</v>
      </c>
      <c r="G74" s="9">
        <v>66</v>
      </c>
      <c r="H74" s="9">
        <v>16</v>
      </c>
      <c r="I74" s="9">
        <v>33</v>
      </c>
      <c r="J74" s="11">
        <v>0</v>
      </c>
      <c r="K74" s="11">
        <v>4</v>
      </c>
      <c r="L74" s="11">
        <v>13</v>
      </c>
      <c r="M74" s="12">
        <v>25</v>
      </c>
      <c r="N74" s="1">
        <v>8</v>
      </c>
      <c r="O74">
        <v>9</v>
      </c>
      <c r="P74">
        <v>9</v>
      </c>
    </row>
    <row r="75" spans="1:16" x14ac:dyDescent="0.25">
      <c r="A75" s="9">
        <v>10075</v>
      </c>
      <c r="B75" s="9" t="s">
        <v>561</v>
      </c>
      <c r="C75" s="10">
        <v>2</v>
      </c>
      <c r="D75" s="9">
        <v>2</v>
      </c>
      <c r="E75" s="11" t="s">
        <v>517</v>
      </c>
      <c r="F75" s="9">
        <v>18</v>
      </c>
      <c r="G75" s="9">
        <v>57</v>
      </c>
      <c r="H75" s="9">
        <v>15</v>
      </c>
      <c r="I75" s="9">
        <v>10</v>
      </c>
      <c r="J75" s="11">
        <v>0</v>
      </c>
      <c r="K75" s="11">
        <v>0</v>
      </c>
      <c r="L75" s="11">
        <v>5</v>
      </c>
      <c r="M75" s="12">
        <v>37</v>
      </c>
      <c r="N75" s="1">
        <v>55</v>
      </c>
      <c r="O75">
        <v>4</v>
      </c>
      <c r="P75">
        <v>5</v>
      </c>
    </row>
    <row r="76" spans="1:16" x14ac:dyDescent="0.25">
      <c r="A76" s="9">
        <v>10076</v>
      </c>
      <c r="B76" s="9" t="s">
        <v>562</v>
      </c>
      <c r="C76" s="10">
        <v>3</v>
      </c>
      <c r="D76" s="9">
        <v>3</v>
      </c>
      <c r="E76" s="11" t="s">
        <v>515</v>
      </c>
      <c r="F76" s="9">
        <v>16</v>
      </c>
      <c r="G76" s="9">
        <v>66</v>
      </c>
      <c r="H76" s="9">
        <v>16</v>
      </c>
      <c r="I76" s="9">
        <v>106</v>
      </c>
      <c r="J76" s="11">
        <v>17</v>
      </c>
      <c r="K76" s="11">
        <v>10</v>
      </c>
      <c r="L76" s="11">
        <v>14</v>
      </c>
      <c r="M76" s="12">
        <v>39</v>
      </c>
      <c r="N76" s="1">
        <v>30</v>
      </c>
      <c r="O76">
        <v>12</v>
      </c>
      <c r="P76">
        <v>12</v>
      </c>
    </row>
    <row r="77" spans="1:16" x14ac:dyDescent="0.25">
      <c r="A77" s="9">
        <v>10077</v>
      </c>
      <c r="B77" s="9" t="s">
        <v>562</v>
      </c>
      <c r="C77" s="10">
        <v>1</v>
      </c>
      <c r="D77" s="9">
        <v>1</v>
      </c>
      <c r="E77" s="11" t="s">
        <v>517</v>
      </c>
      <c r="F77" s="9">
        <v>18</v>
      </c>
      <c r="G77" s="9">
        <v>45.5</v>
      </c>
      <c r="H77" s="9">
        <v>17</v>
      </c>
      <c r="I77" s="9">
        <v>185</v>
      </c>
      <c r="J77" s="11">
        <v>29</v>
      </c>
      <c r="K77" s="11">
        <v>3</v>
      </c>
      <c r="L77" s="11">
        <v>6</v>
      </c>
      <c r="M77" s="12">
        <v>36</v>
      </c>
      <c r="N77" s="1">
        <v>14</v>
      </c>
      <c r="O77">
        <v>23</v>
      </c>
      <c r="P77">
        <v>35</v>
      </c>
    </row>
    <row r="78" spans="1:16" x14ac:dyDescent="0.25">
      <c r="A78" s="9">
        <v>10078</v>
      </c>
      <c r="B78" s="9" t="s">
        <v>562</v>
      </c>
      <c r="C78" s="10">
        <v>2</v>
      </c>
      <c r="D78" s="9">
        <v>2</v>
      </c>
      <c r="E78" s="11" t="s">
        <v>517</v>
      </c>
      <c r="F78" s="9">
        <v>17</v>
      </c>
      <c r="G78" s="9">
        <v>63</v>
      </c>
      <c r="H78" s="9">
        <v>17</v>
      </c>
      <c r="I78" s="9">
        <v>54</v>
      </c>
      <c r="J78" s="11">
        <v>0</v>
      </c>
      <c r="K78" s="11">
        <v>3</v>
      </c>
      <c r="L78" s="11">
        <v>6</v>
      </c>
      <c r="M78" s="12">
        <v>39</v>
      </c>
      <c r="N78" s="1">
        <v>19</v>
      </c>
      <c r="O78">
        <v>13</v>
      </c>
      <c r="P78">
        <v>9</v>
      </c>
    </row>
    <row r="79" spans="1:16" x14ac:dyDescent="0.25">
      <c r="A79" s="9">
        <v>10079</v>
      </c>
      <c r="B79" s="9" t="s">
        <v>562</v>
      </c>
      <c r="C79" s="10">
        <v>1</v>
      </c>
      <c r="D79" s="9">
        <v>2</v>
      </c>
      <c r="E79" s="11" t="s">
        <v>517</v>
      </c>
      <c r="F79" s="9">
        <v>18</v>
      </c>
      <c r="G79" s="9">
        <v>66</v>
      </c>
      <c r="H79" s="9">
        <v>18</v>
      </c>
      <c r="I79" s="9">
        <v>27</v>
      </c>
      <c r="J79" s="11">
        <v>0</v>
      </c>
      <c r="K79" s="11">
        <v>12</v>
      </c>
      <c r="L79" s="11">
        <v>7</v>
      </c>
      <c r="M79" s="12">
        <v>28</v>
      </c>
      <c r="N79" s="1">
        <v>0</v>
      </c>
      <c r="O79">
        <v>5</v>
      </c>
      <c r="P79">
        <v>0</v>
      </c>
    </row>
    <row r="80" spans="1:16" x14ac:dyDescent="0.25">
      <c r="A80" s="9">
        <v>10080</v>
      </c>
      <c r="B80" s="9" t="s">
        <v>562</v>
      </c>
      <c r="C80" s="10">
        <v>3</v>
      </c>
      <c r="D80" s="9">
        <v>3</v>
      </c>
      <c r="E80" s="11" t="s">
        <v>517</v>
      </c>
      <c r="F80" s="9">
        <v>16</v>
      </c>
      <c r="G80" s="9">
        <v>59.5</v>
      </c>
      <c r="H80" s="9">
        <v>15</v>
      </c>
      <c r="I80" s="9">
        <v>77</v>
      </c>
      <c r="J80" s="11">
        <v>16</v>
      </c>
      <c r="K80" s="11">
        <v>14</v>
      </c>
      <c r="L80" s="11">
        <v>32</v>
      </c>
      <c r="M80" s="12">
        <v>25</v>
      </c>
      <c r="N80" s="1">
        <v>10</v>
      </c>
      <c r="O80">
        <v>17</v>
      </c>
      <c r="P80">
        <v>25</v>
      </c>
    </row>
    <row r="81" spans="1:16" x14ac:dyDescent="0.25">
      <c r="A81" s="9">
        <v>10081</v>
      </c>
      <c r="B81" s="9" t="s">
        <v>561</v>
      </c>
      <c r="C81" s="10">
        <v>1</v>
      </c>
      <c r="D81" s="9">
        <v>1</v>
      </c>
      <c r="E81" s="11" t="s">
        <v>517</v>
      </c>
      <c r="F81" s="9">
        <v>18</v>
      </c>
      <c r="G81" s="9">
        <v>50.5</v>
      </c>
      <c r="H81" s="9">
        <v>17</v>
      </c>
      <c r="I81" s="9">
        <v>94</v>
      </c>
      <c r="J81" s="11">
        <v>11</v>
      </c>
      <c r="K81" s="11">
        <v>17</v>
      </c>
      <c r="L81" s="11">
        <v>17</v>
      </c>
      <c r="M81" s="12">
        <v>38</v>
      </c>
      <c r="N81" s="1">
        <v>25</v>
      </c>
      <c r="O81">
        <v>12</v>
      </c>
      <c r="P81">
        <v>10</v>
      </c>
    </row>
    <row r="82" spans="1:16" x14ac:dyDescent="0.25">
      <c r="A82" s="9">
        <v>10082</v>
      </c>
      <c r="B82" s="9" t="s">
        <v>561</v>
      </c>
      <c r="C82" s="10">
        <v>3</v>
      </c>
      <c r="D82" s="9">
        <v>3</v>
      </c>
      <c r="E82" s="11" t="s">
        <v>517</v>
      </c>
      <c r="F82" s="9">
        <v>16</v>
      </c>
      <c r="G82" s="9">
        <v>58</v>
      </c>
      <c r="H82" s="9">
        <v>16</v>
      </c>
      <c r="I82" s="9">
        <v>55</v>
      </c>
      <c r="J82" s="11">
        <v>7</v>
      </c>
      <c r="K82" s="11">
        <v>1</v>
      </c>
      <c r="L82" s="11">
        <v>5</v>
      </c>
      <c r="M82" s="12">
        <v>28</v>
      </c>
      <c r="N82" s="1">
        <v>12</v>
      </c>
      <c r="O82">
        <v>8</v>
      </c>
      <c r="P82">
        <v>8</v>
      </c>
    </row>
    <row r="83" spans="1:16" x14ac:dyDescent="0.25">
      <c r="A83" s="9">
        <v>10083</v>
      </c>
      <c r="B83" s="9" t="s">
        <v>561</v>
      </c>
      <c r="C83" s="10">
        <v>1</v>
      </c>
      <c r="D83" s="9">
        <v>1</v>
      </c>
      <c r="E83" s="11" t="s">
        <v>515</v>
      </c>
      <c r="F83" s="9">
        <v>16</v>
      </c>
      <c r="G83" s="9">
        <v>58</v>
      </c>
      <c r="H83" s="9">
        <v>16</v>
      </c>
      <c r="I83" s="9">
        <v>38</v>
      </c>
      <c r="J83" s="11">
        <v>0</v>
      </c>
      <c r="K83" s="11">
        <v>22</v>
      </c>
      <c r="L83" s="11">
        <v>37</v>
      </c>
      <c r="M83" s="12">
        <v>19</v>
      </c>
      <c r="N83" s="1">
        <v>0</v>
      </c>
      <c r="O83">
        <v>6</v>
      </c>
      <c r="P83">
        <v>5</v>
      </c>
    </row>
    <row r="84" spans="1:16" x14ac:dyDescent="0.25">
      <c r="A84" s="9">
        <v>10084</v>
      </c>
      <c r="B84" s="9" t="s">
        <v>561</v>
      </c>
      <c r="C84" s="10">
        <v>1</v>
      </c>
      <c r="D84" s="9">
        <v>1</v>
      </c>
      <c r="E84" s="11" t="s">
        <v>517</v>
      </c>
      <c r="F84" s="9">
        <v>16</v>
      </c>
      <c r="G84" s="9">
        <v>59.5</v>
      </c>
      <c r="H84" s="9">
        <v>16</v>
      </c>
      <c r="I84" s="9">
        <v>27</v>
      </c>
      <c r="J84" s="11">
        <v>0</v>
      </c>
      <c r="K84" s="11">
        <v>6</v>
      </c>
      <c r="L84" s="11">
        <v>15</v>
      </c>
      <c r="M84" s="12">
        <v>29</v>
      </c>
      <c r="N84" s="1">
        <v>14</v>
      </c>
      <c r="O84">
        <v>11</v>
      </c>
      <c r="P84">
        <v>12</v>
      </c>
    </row>
    <row r="85" spans="1:16" x14ac:dyDescent="0.25">
      <c r="A85" s="9">
        <v>10085</v>
      </c>
      <c r="B85" s="9" t="s">
        <v>561</v>
      </c>
      <c r="C85" s="10">
        <v>2</v>
      </c>
      <c r="D85" s="9">
        <v>2</v>
      </c>
      <c r="E85" s="11" t="s">
        <v>517</v>
      </c>
      <c r="F85" s="9">
        <v>18</v>
      </c>
      <c r="G85" s="9">
        <v>66</v>
      </c>
      <c r="H85" s="9">
        <v>18</v>
      </c>
      <c r="I85" s="9">
        <v>177</v>
      </c>
      <c r="J85" s="11">
        <v>23</v>
      </c>
      <c r="K85" s="11">
        <v>55</v>
      </c>
      <c r="L85" s="11">
        <v>30</v>
      </c>
      <c r="M85" s="12">
        <v>33</v>
      </c>
      <c r="N85" s="1">
        <v>7</v>
      </c>
      <c r="O85">
        <v>19</v>
      </c>
      <c r="P85">
        <v>23</v>
      </c>
    </row>
    <row r="86" spans="1:16" x14ac:dyDescent="0.25">
      <c r="A86" s="9">
        <v>10086</v>
      </c>
      <c r="B86" s="9" t="s">
        <v>561</v>
      </c>
      <c r="C86" s="10">
        <v>2</v>
      </c>
      <c r="D86" s="9">
        <v>2</v>
      </c>
      <c r="E86" s="11" t="s">
        <v>515</v>
      </c>
      <c r="F86" s="9">
        <v>14</v>
      </c>
      <c r="G86" s="9">
        <v>42.5</v>
      </c>
      <c r="H86" s="9">
        <v>16</v>
      </c>
      <c r="I86" s="9">
        <v>59</v>
      </c>
      <c r="J86" s="11">
        <v>8</v>
      </c>
      <c r="K86" s="11">
        <v>6</v>
      </c>
      <c r="L86" s="11">
        <v>15</v>
      </c>
      <c r="M86" s="12">
        <v>45</v>
      </c>
      <c r="N86" s="1">
        <v>73</v>
      </c>
      <c r="O86">
        <v>17</v>
      </c>
      <c r="P86">
        <v>28</v>
      </c>
    </row>
    <row r="87" spans="1:16" x14ac:dyDescent="0.25">
      <c r="A87" s="9">
        <v>10087</v>
      </c>
      <c r="B87" s="9" t="s">
        <v>562</v>
      </c>
      <c r="C87" s="10">
        <v>3</v>
      </c>
      <c r="D87" s="9">
        <v>3</v>
      </c>
      <c r="E87" s="11" t="s">
        <v>517</v>
      </c>
      <c r="F87" s="9">
        <v>17</v>
      </c>
      <c r="G87" s="9">
        <v>27</v>
      </c>
      <c r="H87" s="9">
        <v>16</v>
      </c>
      <c r="I87" s="9">
        <v>57</v>
      </c>
      <c r="J87" s="11">
        <v>0</v>
      </c>
      <c r="K87" s="11">
        <v>7</v>
      </c>
      <c r="L87" s="11">
        <v>12</v>
      </c>
      <c r="M87" s="12">
        <v>38</v>
      </c>
      <c r="N87" s="1">
        <v>25</v>
      </c>
      <c r="O87">
        <v>13</v>
      </c>
      <c r="P87">
        <v>13</v>
      </c>
    </row>
    <row r="88" spans="1:16" x14ac:dyDescent="0.25">
      <c r="A88" s="9">
        <v>10088</v>
      </c>
      <c r="B88" s="9" t="s">
        <v>561</v>
      </c>
      <c r="C88" s="10">
        <v>3</v>
      </c>
      <c r="D88" s="9">
        <v>3</v>
      </c>
      <c r="E88" s="11" t="s">
        <v>517</v>
      </c>
      <c r="F88" s="9">
        <v>18</v>
      </c>
      <c r="G88" s="9">
        <v>61</v>
      </c>
      <c r="H88" s="9">
        <v>16</v>
      </c>
      <c r="I88" s="9">
        <v>77</v>
      </c>
      <c r="J88" s="11">
        <v>12</v>
      </c>
      <c r="K88" s="11">
        <v>0</v>
      </c>
      <c r="L88" s="11">
        <v>0</v>
      </c>
      <c r="M88" s="12">
        <v>25</v>
      </c>
      <c r="N88" s="1">
        <v>8</v>
      </c>
      <c r="O88">
        <v>18</v>
      </c>
      <c r="P88">
        <v>30</v>
      </c>
    </row>
    <row r="89" spans="1:16" x14ac:dyDescent="0.25">
      <c r="A89" s="9">
        <v>10089</v>
      </c>
      <c r="B89" s="9" t="s">
        <v>561</v>
      </c>
      <c r="C89" s="10">
        <v>2</v>
      </c>
      <c r="D89" s="9">
        <v>2</v>
      </c>
      <c r="E89" s="11" t="s">
        <v>517</v>
      </c>
      <c r="F89" s="9">
        <v>16</v>
      </c>
      <c r="G89" s="9">
        <v>58</v>
      </c>
      <c r="H89" s="9">
        <v>16</v>
      </c>
      <c r="I89" s="9">
        <v>99</v>
      </c>
      <c r="J89" s="11">
        <v>18</v>
      </c>
      <c r="K89" s="11">
        <v>5</v>
      </c>
      <c r="L89" s="11">
        <v>14</v>
      </c>
      <c r="M89" s="12">
        <v>41</v>
      </c>
      <c r="N89" s="1">
        <v>55</v>
      </c>
      <c r="O89">
        <v>15</v>
      </c>
      <c r="P89">
        <v>23</v>
      </c>
    </row>
    <row r="90" spans="1:16" x14ac:dyDescent="0.25">
      <c r="A90" s="9">
        <v>10090</v>
      </c>
      <c r="B90" s="9" t="s">
        <v>561</v>
      </c>
      <c r="C90" s="10">
        <v>1</v>
      </c>
      <c r="D90" s="9">
        <v>1</v>
      </c>
      <c r="E90" s="11" t="s">
        <v>504</v>
      </c>
      <c r="F90" s="9">
        <v>18</v>
      </c>
      <c r="G90" s="9">
        <v>66</v>
      </c>
      <c r="H90" s="9">
        <v>18</v>
      </c>
      <c r="I90" s="9">
        <v>64</v>
      </c>
      <c r="J90" s="11">
        <v>0</v>
      </c>
      <c r="K90" s="11">
        <v>38</v>
      </c>
      <c r="L90" s="11">
        <v>19</v>
      </c>
      <c r="M90" s="12">
        <v>37</v>
      </c>
      <c r="N90" s="1">
        <v>12</v>
      </c>
      <c r="O90">
        <v>10</v>
      </c>
      <c r="P90">
        <v>0</v>
      </c>
    </row>
    <row r="91" spans="1:16" x14ac:dyDescent="0.25">
      <c r="A91" s="9">
        <v>10091</v>
      </c>
      <c r="B91" s="9" t="s">
        <v>562</v>
      </c>
      <c r="C91" s="10">
        <v>2</v>
      </c>
      <c r="D91" s="9">
        <v>2</v>
      </c>
      <c r="E91" s="11" t="s">
        <v>517</v>
      </c>
      <c r="F91" s="9">
        <v>17</v>
      </c>
      <c r="G91" s="9">
        <v>63</v>
      </c>
      <c r="H91" s="9">
        <v>16</v>
      </c>
      <c r="I91" s="9">
        <v>90</v>
      </c>
      <c r="J91" s="11">
        <v>13</v>
      </c>
      <c r="K91" s="11">
        <v>2</v>
      </c>
      <c r="L91" s="11">
        <v>7</v>
      </c>
      <c r="M91" s="12">
        <v>47</v>
      </c>
      <c r="N91" s="1">
        <v>60</v>
      </c>
      <c r="O91">
        <v>14</v>
      </c>
      <c r="P91">
        <v>10</v>
      </c>
    </row>
    <row r="92" spans="1:16" x14ac:dyDescent="0.25">
      <c r="A92" s="9">
        <v>10092</v>
      </c>
      <c r="B92" s="9" t="s">
        <v>561</v>
      </c>
      <c r="C92" s="10">
        <v>2</v>
      </c>
      <c r="D92" s="9">
        <v>2</v>
      </c>
      <c r="E92" s="11" t="s">
        <v>517</v>
      </c>
      <c r="F92" s="9">
        <v>15</v>
      </c>
      <c r="G92" s="9">
        <v>50</v>
      </c>
      <c r="H92" s="9">
        <v>16</v>
      </c>
      <c r="I92" s="9">
        <v>39</v>
      </c>
      <c r="J92" s="11">
        <v>0</v>
      </c>
      <c r="K92" s="11">
        <v>4</v>
      </c>
      <c r="L92" s="11">
        <v>13</v>
      </c>
      <c r="M92" s="12">
        <v>28</v>
      </c>
      <c r="N92" s="1">
        <v>12</v>
      </c>
      <c r="O92">
        <v>14</v>
      </c>
      <c r="P92">
        <v>12</v>
      </c>
    </row>
    <row r="93" spans="1:16" x14ac:dyDescent="0.25">
      <c r="A93" s="9">
        <v>10093</v>
      </c>
      <c r="B93" s="9" t="s">
        <v>561</v>
      </c>
      <c r="C93" s="10">
        <v>1</v>
      </c>
      <c r="D93" s="9">
        <v>1</v>
      </c>
      <c r="E93" s="11" t="s">
        <v>504</v>
      </c>
      <c r="F93" s="9">
        <v>15</v>
      </c>
      <c r="G93" s="9">
        <v>51.5</v>
      </c>
      <c r="H93" s="9">
        <v>18</v>
      </c>
      <c r="I93" s="9">
        <v>142</v>
      </c>
      <c r="J93" s="11">
        <v>14</v>
      </c>
      <c r="K93" s="11">
        <v>3</v>
      </c>
      <c r="L93" s="11">
        <v>5</v>
      </c>
      <c r="M93" s="12">
        <v>32</v>
      </c>
      <c r="N93" s="1">
        <v>5</v>
      </c>
      <c r="O93">
        <v>19</v>
      </c>
      <c r="P93">
        <v>13</v>
      </c>
    </row>
    <row r="94" spans="1:16" x14ac:dyDescent="0.25">
      <c r="A94" s="9">
        <v>10094</v>
      </c>
      <c r="B94" s="9" t="s">
        <v>561</v>
      </c>
      <c r="C94" s="10">
        <v>3</v>
      </c>
      <c r="D94" s="9">
        <v>3</v>
      </c>
      <c r="E94" s="11" t="s">
        <v>519</v>
      </c>
      <c r="F94" s="9">
        <v>13</v>
      </c>
      <c r="G94" s="9">
        <v>31</v>
      </c>
      <c r="H94" s="9">
        <v>16</v>
      </c>
      <c r="I94" s="9">
        <v>111</v>
      </c>
      <c r="J94" s="11">
        <v>23</v>
      </c>
      <c r="K94" s="11">
        <v>1</v>
      </c>
      <c r="L94" s="11">
        <v>5</v>
      </c>
      <c r="M94" s="12">
        <v>27</v>
      </c>
      <c r="N94" s="1">
        <v>10</v>
      </c>
      <c r="O94">
        <v>21</v>
      </c>
      <c r="P94">
        <v>30</v>
      </c>
    </row>
    <row r="95" spans="1:16" x14ac:dyDescent="0.25">
      <c r="A95" s="9">
        <v>10095</v>
      </c>
      <c r="B95" s="9" t="s">
        <v>562</v>
      </c>
      <c r="C95" s="10">
        <v>3</v>
      </c>
      <c r="D95" s="9">
        <v>3</v>
      </c>
      <c r="E95" s="11" t="s">
        <v>517</v>
      </c>
      <c r="F95" s="9">
        <v>18</v>
      </c>
      <c r="G95" s="9">
        <v>64.5</v>
      </c>
      <c r="H95" s="9">
        <v>16</v>
      </c>
      <c r="I95" s="9">
        <v>19</v>
      </c>
      <c r="J95" s="11">
        <v>0</v>
      </c>
      <c r="K95" s="11">
        <v>12</v>
      </c>
      <c r="L95" s="11">
        <v>15</v>
      </c>
      <c r="M95" s="12">
        <v>28</v>
      </c>
      <c r="N95" s="1">
        <v>8</v>
      </c>
      <c r="O95">
        <v>9</v>
      </c>
      <c r="P95">
        <v>5</v>
      </c>
    </row>
    <row r="96" spans="1:16" x14ac:dyDescent="0.25">
      <c r="A96" s="9">
        <v>10096</v>
      </c>
      <c r="B96" s="9" t="s">
        <v>561</v>
      </c>
      <c r="C96" s="10">
        <v>1</v>
      </c>
      <c r="D96" s="9">
        <v>2</v>
      </c>
      <c r="E96" s="11" t="s">
        <v>519</v>
      </c>
      <c r="F96" s="9">
        <v>16</v>
      </c>
      <c r="G96" s="9">
        <v>54</v>
      </c>
      <c r="H96" s="9">
        <v>16</v>
      </c>
      <c r="I96" s="9">
        <v>152</v>
      </c>
      <c r="J96" s="11">
        <v>38</v>
      </c>
      <c r="K96" s="11">
        <v>91</v>
      </c>
      <c r="L96" s="11">
        <v>88</v>
      </c>
      <c r="M96" s="12">
        <v>41</v>
      </c>
      <c r="N96" s="1">
        <v>55</v>
      </c>
      <c r="O96">
        <v>23</v>
      </c>
      <c r="P96">
        <v>40</v>
      </c>
    </row>
    <row r="97" spans="1:16" x14ac:dyDescent="0.25">
      <c r="A97" s="9">
        <v>10097</v>
      </c>
      <c r="B97" s="9" t="s">
        <v>562</v>
      </c>
      <c r="C97" s="10">
        <v>1</v>
      </c>
      <c r="D97" s="9">
        <v>1</v>
      </c>
      <c r="E97" s="11" t="s">
        <v>517</v>
      </c>
      <c r="F97" s="9">
        <v>18</v>
      </c>
      <c r="G97" s="9">
        <v>63.5</v>
      </c>
      <c r="H97" s="9">
        <v>16</v>
      </c>
      <c r="I97" s="9">
        <v>45</v>
      </c>
      <c r="J97" s="11">
        <v>0</v>
      </c>
      <c r="K97" s="11">
        <v>9</v>
      </c>
      <c r="L97" s="11">
        <v>16</v>
      </c>
      <c r="M97" s="12">
        <v>37</v>
      </c>
      <c r="N97" s="1">
        <v>24</v>
      </c>
      <c r="O97">
        <v>11</v>
      </c>
      <c r="P97">
        <v>10</v>
      </c>
    </row>
    <row r="98" spans="1:16" x14ac:dyDescent="0.25">
      <c r="A98" s="9">
        <v>10098</v>
      </c>
      <c r="B98" s="9" t="s">
        <v>561</v>
      </c>
      <c r="C98" s="10">
        <v>2</v>
      </c>
      <c r="D98" s="9">
        <v>2</v>
      </c>
      <c r="E98" s="11" t="s">
        <v>517</v>
      </c>
      <c r="F98" s="9">
        <v>16</v>
      </c>
      <c r="G98" s="9">
        <v>53</v>
      </c>
      <c r="H98" s="9">
        <v>16</v>
      </c>
      <c r="I98" s="9">
        <v>30</v>
      </c>
      <c r="J98" s="11">
        <v>0</v>
      </c>
      <c r="K98" s="11">
        <v>13</v>
      </c>
      <c r="L98" s="11">
        <v>27</v>
      </c>
      <c r="M98" s="12">
        <v>41</v>
      </c>
      <c r="N98" s="1">
        <v>55</v>
      </c>
      <c r="O98">
        <v>3</v>
      </c>
      <c r="P98">
        <v>0</v>
      </c>
    </row>
    <row r="99" spans="1:16" x14ac:dyDescent="0.25">
      <c r="A99" s="9">
        <v>10099</v>
      </c>
      <c r="B99" s="9" t="s">
        <v>561</v>
      </c>
      <c r="C99" s="10">
        <v>2</v>
      </c>
      <c r="D99" s="9">
        <v>2</v>
      </c>
      <c r="E99" s="11" t="s">
        <v>517</v>
      </c>
      <c r="F99" s="9">
        <v>18</v>
      </c>
      <c r="G99" s="9">
        <v>58.5</v>
      </c>
      <c r="H99" s="9">
        <v>16</v>
      </c>
      <c r="I99" s="9">
        <v>45</v>
      </c>
      <c r="J99" s="11">
        <v>0</v>
      </c>
      <c r="K99" s="11">
        <v>10</v>
      </c>
      <c r="L99" s="11">
        <v>22</v>
      </c>
      <c r="M99" s="12">
        <v>35</v>
      </c>
      <c r="N99" s="1">
        <v>28</v>
      </c>
      <c r="O99">
        <v>17</v>
      </c>
      <c r="P99">
        <v>28</v>
      </c>
    </row>
    <row r="100" spans="1:16" x14ac:dyDescent="0.25">
      <c r="A100" s="9">
        <v>10100</v>
      </c>
      <c r="B100" s="9" t="s">
        <v>562</v>
      </c>
      <c r="C100" s="10">
        <v>1</v>
      </c>
      <c r="D100" s="9">
        <v>1</v>
      </c>
      <c r="E100" s="11" t="s">
        <v>517</v>
      </c>
      <c r="F100" s="9">
        <v>18</v>
      </c>
      <c r="G100" s="9">
        <v>57</v>
      </c>
      <c r="H100" s="9">
        <v>16</v>
      </c>
      <c r="I100" s="9">
        <v>92</v>
      </c>
      <c r="J100" s="11">
        <v>14</v>
      </c>
      <c r="K100" s="11">
        <v>3</v>
      </c>
      <c r="L100" s="11">
        <v>8</v>
      </c>
      <c r="M100" s="12">
        <v>39</v>
      </c>
      <c r="N100" s="1">
        <v>30</v>
      </c>
      <c r="O100">
        <v>23</v>
      </c>
      <c r="P100">
        <v>50</v>
      </c>
    </row>
    <row r="101" spans="1:16" x14ac:dyDescent="0.25">
      <c r="A101" s="9">
        <v>10101</v>
      </c>
      <c r="B101" s="9" t="s">
        <v>561</v>
      </c>
      <c r="C101" s="10">
        <v>2</v>
      </c>
      <c r="D101" s="9">
        <v>2</v>
      </c>
      <c r="E101" s="11" t="s">
        <v>517</v>
      </c>
      <c r="F101" s="9">
        <v>16</v>
      </c>
      <c r="G101" s="9">
        <v>61</v>
      </c>
      <c r="H101" s="9">
        <v>16</v>
      </c>
      <c r="I101" s="9">
        <v>39</v>
      </c>
      <c r="J101" s="11">
        <v>0</v>
      </c>
      <c r="K101" s="11">
        <v>1</v>
      </c>
      <c r="L101" s="11">
        <v>5</v>
      </c>
      <c r="M101" s="12">
        <v>27</v>
      </c>
      <c r="N101" s="1">
        <v>10</v>
      </c>
      <c r="O101">
        <v>0</v>
      </c>
      <c r="P101">
        <v>0</v>
      </c>
    </row>
    <row r="102" spans="1:16" x14ac:dyDescent="0.25">
      <c r="A102" s="9">
        <v>10102</v>
      </c>
      <c r="B102" s="9" t="s">
        <v>562</v>
      </c>
      <c r="C102" s="10">
        <v>2</v>
      </c>
      <c r="D102" s="9">
        <v>2</v>
      </c>
      <c r="E102" s="11" t="s">
        <v>517</v>
      </c>
      <c r="F102" s="9">
        <v>18</v>
      </c>
      <c r="G102" s="9">
        <v>63.5</v>
      </c>
      <c r="H102" s="9">
        <v>16</v>
      </c>
      <c r="I102" s="9">
        <v>91</v>
      </c>
      <c r="J102" s="11">
        <v>14</v>
      </c>
      <c r="K102" s="11">
        <v>8</v>
      </c>
      <c r="L102" s="11">
        <v>12</v>
      </c>
      <c r="M102" s="12">
        <v>33</v>
      </c>
      <c r="N102" s="1">
        <v>15</v>
      </c>
      <c r="O102">
        <v>19</v>
      </c>
      <c r="P102">
        <v>25</v>
      </c>
    </row>
    <row r="103" spans="1:16" x14ac:dyDescent="0.25">
      <c r="A103" s="9">
        <v>10103</v>
      </c>
      <c r="B103" s="9" t="s">
        <v>562</v>
      </c>
      <c r="C103" s="10">
        <v>1</v>
      </c>
      <c r="D103" s="9">
        <v>1</v>
      </c>
      <c r="E103" s="11" t="s">
        <v>517</v>
      </c>
      <c r="F103" s="9">
        <v>18</v>
      </c>
      <c r="G103" s="9">
        <v>66</v>
      </c>
      <c r="H103" s="9">
        <v>17</v>
      </c>
      <c r="I103" s="9">
        <v>108</v>
      </c>
      <c r="J103" s="11">
        <v>11</v>
      </c>
      <c r="K103" s="11">
        <v>1</v>
      </c>
      <c r="L103" s="11">
        <v>5</v>
      </c>
      <c r="M103" s="12">
        <v>30</v>
      </c>
      <c r="N103" s="1">
        <v>0</v>
      </c>
      <c r="O103">
        <v>27</v>
      </c>
      <c r="P103">
        <v>75</v>
      </c>
    </row>
    <row r="104" spans="1:16" x14ac:dyDescent="0.25">
      <c r="A104" s="9">
        <v>10104</v>
      </c>
      <c r="B104" s="9" t="s">
        <v>562</v>
      </c>
      <c r="C104" s="10">
        <v>2</v>
      </c>
      <c r="D104" s="9">
        <v>2</v>
      </c>
      <c r="E104" s="11" t="s">
        <v>517</v>
      </c>
      <c r="F104" s="9">
        <v>18</v>
      </c>
      <c r="G104" s="9">
        <v>61</v>
      </c>
      <c r="H104" s="9">
        <v>16</v>
      </c>
      <c r="I104" s="9">
        <v>45</v>
      </c>
      <c r="J104" s="11">
        <v>0</v>
      </c>
      <c r="K104" s="11">
        <v>9</v>
      </c>
      <c r="L104" s="11">
        <v>13</v>
      </c>
      <c r="M104" s="12">
        <v>29</v>
      </c>
      <c r="N104" s="1">
        <v>9</v>
      </c>
      <c r="O104">
        <v>18</v>
      </c>
      <c r="P104">
        <v>23</v>
      </c>
    </row>
    <row r="105" spans="1:16" x14ac:dyDescent="0.25">
      <c r="A105" s="9">
        <v>10105</v>
      </c>
      <c r="B105" s="9" t="s">
        <v>562</v>
      </c>
      <c r="C105" s="10">
        <v>1</v>
      </c>
      <c r="D105" s="9">
        <v>1</v>
      </c>
      <c r="E105" s="11" t="s">
        <v>517</v>
      </c>
      <c r="F105" s="9">
        <v>16</v>
      </c>
      <c r="G105" s="9">
        <v>53</v>
      </c>
      <c r="H105" s="9">
        <v>17</v>
      </c>
      <c r="I105" s="9">
        <v>186</v>
      </c>
      <c r="J105" s="11">
        <v>29</v>
      </c>
      <c r="K105" s="11">
        <v>19</v>
      </c>
      <c r="L105" s="11">
        <v>12</v>
      </c>
      <c r="M105" s="12">
        <v>40</v>
      </c>
      <c r="N105" s="1">
        <v>20</v>
      </c>
      <c r="O105">
        <v>19</v>
      </c>
      <c r="P105">
        <v>20</v>
      </c>
    </row>
    <row r="106" spans="1:16" x14ac:dyDescent="0.25">
      <c r="A106" s="9">
        <v>10106</v>
      </c>
      <c r="B106" s="9" t="s">
        <v>562</v>
      </c>
      <c r="C106" s="10">
        <v>1</v>
      </c>
      <c r="D106" s="9">
        <v>1</v>
      </c>
      <c r="E106" s="11" t="s">
        <v>517</v>
      </c>
      <c r="F106" s="9">
        <v>17</v>
      </c>
      <c r="G106" s="9">
        <v>55.5</v>
      </c>
      <c r="H106" s="9">
        <v>17</v>
      </c>
      <c r="I106" s="9">
        <v>113</v>
      </c>
      <c r="J106" s="11">
        <v>13</v>
      </c>
      <c r="K106" s="11">
        <v>0</v>
      </c>
      <c r="L106" s="11">
        <v>0</v>
      </c>
      <c r="M106" s="12">
        <v>35</v>
      </c>
      <c r="N106" s="1">
        <v>12</v>
      </c>
      <c r="O106">
        <v>12</v>
      </c>
      <c r="P106">
        <v>8</v>
      </c>
    </row>
    <row r="107" spans="1:16" x14ac:dyDescent="0.25">
      <c r="A107" s="9">
        <v>10107</v>
      </c>
      <c r="B107" s="9" t="s">
        <v>561</v>
      </c>
      <c r="C107" s="10">
        <v>1</v>
      </c>
      <c r="D107" s="9">
        <v>1</v>
      </c>
      <c r="E107" s="11" t="s">
        <v>517</v>
      </c>
      <c r="F107" s="9">
        <v>18</v>
      </c>
      <c r="G107" s="9">
        <v>62</v>
      </c>
      <c r="H107" s="9">
        <v>16</v>
      </c>
      <c r="I107" s="9">
        <v>96</v>
      </c>
      <c r="J107" s="11">
        <v>16</v>
      </c>
      <c r="K107" s="11">
        <v>8</v>
      </c>
      <c r="L107" s="11">
        <v>19</v>
      </c>
      <c r="M107" s="12">
        <v>23</v>
      </c>
      <c r="N107" s="1">
        <v>6</v>
      </c>
      <c r="O107">
        <v>17</v>
      </c>
      <c r="P107">
        <v>28</v>
      </c>
    </row>
    <row r="108" spans="1:16" x14ac:dyDescent="0.25">
      <c r="A108" s="9">
        <v>10108</v>
      </c>
      <c r="B108" s="9" t="s">
        <v>562</v>
      </c>
      <c r="C108" s="10">
        <v>2</v>
      </c>
      <c r="D108" s="9">
        <v>2</v>
      </c>
      <c r="E108" s="11" t="s">
        <v>517</v>
      </c>
      <c r="F108" s="9">
        <v>16</v>
      </c>
      <c r="G108" s="9">
        <v>63</v>
      </c>
      <c r="H108" s="9">
        <v>17</v>
      </c>
      <c r="I108" s="9">
        <v>122</v>
      </c>
      <c r="J108" s="11">
        <v>15</v>
      </c>
      <c r="K108" s="11">
        <v>16</v>
      </c>
      <c r="L108" s="11">
        <v>12</v>
      </c>
      <c r="M108" s="12">
        <v>26</v>
      </c>
      <c r="N108" s="1">
        <v>0</v>
      </c>
      <c r="O108">
        <v>20</v>
      </c>
      <c r="P108">
        <v>23</v>
      </c>
    </row>
    <row r="109" spans="1:16" x14ac:dyDescent="0.25">
      <c r="A109" s="9">
        <v>10109</v>
      </c>
      <c r="B109" s="9" t="s">
        <v>561</v>
      </c>
      <c r="C109" s="10">
        <v>1</v>
      </c>
      <c r="D109" s="9">
        <v>0</v>
      </c>
      <c r="E109" s="11" t="s">
        <v>517</v>
      </c>
      <c r="F109" s="9">
        <v>16</v>
      </c>
      <c r="G109" s="9">
        <v>56</v>
      </c>
      <c r="H109" s="9">
        <v>17</v>
      </c>
      <c r="I109" s="9">
        <v>106</v>
      </c>
      <c r="J109" s="11">
        <v>12</v>
      </c>
      <c r="K109" s="11">
        <v>5</v>
      </c>
      <c r="L109" s="11">
        <v>10</v>
      </c>
      <c r="M109" s="12">
        <v>35</v>
      </c>
      <c r="N109" s="1">
        <v>15</v>
      </c>
      <c r="O109">
        <v>17</v>
      </c>
      <c r="P109">
        <v>23</v>
      </c>
    </row>
    <row r="110" spans="1:16" x14ac:dyDescent="0.25">
      <c r="A110" s="9">
        <v>10110</v>
      </c>
      <c r="B110" s="9" t="s">
        <v>561</v>
      </c>
      <c r="C110" s="10">
        <v>4</v>
      </c>
      <c r="D110" s="9">
        <v>5</v>
      </c>
      <c r="E110" s="11" t="s">
        <v>517</v>
      </c>
      <c r="F110" s="9">
        <v>16</v>
      </c>
      <c r="G110" s="9">
        <v>66</v>
      </c>
      <c r="H110" s="9">
        <v>16</v>
      </c>
      <c r="I110" s="9">
        <v>54</v>
      </c>
      <c r="J110" s="11">
        <v>7</v>
      </c>
      <c r="K110" s="11">
        <v>2</v>
      </c>
      <c r="L110" s="11">
        <v>10</v>
      </c>
      <c r="M110" s="12">
        <v>30</v>
      </c>
      <c r="N110" s="1">
        <v>15</v>
      </c>
      <c r="O110">
        <v>18</v>
      </c>
      <c r="P110">
        <v>30</v>
      </c>
    </row>
    <row r="111" spans="1:16" x14ac:dyDescent="0.25">
      <c r="A111" s="9">
        <v>10111</v>
      </c>
      <c r="B111" s="9" t="s">
        <v>562</v>
      </c>
      <c r="C111" s="10">
        <v>3</v>
      </c>
      <c r="D111" s="9">
        <v>3</v>
      </c>
      <c r="E111" s="11" t="s">
        <v>550</v>
      </c>
      <c r="F111" s="9">
        <v>13</v>
      </c>
      <c r="G111" s="9">
        <v>50</v>
      </c>
      <c r="H111" s="9">
        <v>17</v>
      </c>
      <c r="I111" s="9">
        <v>86</v>
      </c>
      <c r="J111" s="11">
        <v>0</v>
      </c>
      <c r="K111" s="11">
        <v>16</v>
      </c>
      <c r="L111" s="11">
        <v>12</v>
      </c>
      <c r="M111" s="12">
        <v>40</v>
      </c>
      <c r="N111" s="1">
        <v>20</v>
      </c>
      <c r="O111">
        <v>17</v>
      </c>
      <c r="P111">
        <v>15</v>
      </c>
    </row>
    <row r="112" spans="1:16" x14ac:dyDescent="0.25">
      <c r="A112" s="9">
        <v>10112</v>
      </c>
      <c r="B112" s="9" t="s">
        <v>562</v>
      </c>
      <c r="C112" s="10">
        <v>1</v>
      </c>
      <c r="D112" s="9">
        <v>1</v>
      </c>
      <c r="E112" s="11" t="s">
        <v>517</v>
      </c>
      <c r="F112" s="9">
        <v>17</v>
      </c>
      <c r="G112" s="9">
        <v>59.5</v>
      </c>
      <c r="H112" s="9">
        <v>17</v>
      </c>
      <c r="I112" s="9">
        <v>66</v>
      </c>
      <c r="J112" s="11">
        <v>0</v>
      </c>
      <c r="K112" s="11">
        <v>10</v>
      </c>
      <c r="L112" s="11">
        <v>10</v>
      </c>
      <c r="M112" s="12">
        <v>40</v>
      </c>
      <c r="N112" s="1">
        <v>20</v>
      </c>
      <c r="O112">
        <v>10</v>
      </c>
      <c r="P112">
        <v>5</v>
      </c>
    </row>
    <row r="113" spans="1:16" x14ac:dyDescent="0.25">
      <c r="A113" s="9">
        <v>10113</v>
      </c>
      <c r="B113" s="9" t="s">
        <v>562</v>
      </c>
      <c r="C113" s="10">
        <v>2</v>
      </c>
      <c r="D113" s="9">
        <v>2</v>
      </c>
      <c r="E113" s="11" t="s">
        <v>517</v>
      </c>
      <c r="F113" s="9">
        <v>16</v>
      </c>
      <c r="G113" s="9">
        <v>29</v>
      </c>
      <c r="H113" s="9">
        <v>16</v>
      </c>
      <c r="I113" s="9">
        <v>22</v>
      </c>
      <c r="J113" s="11">
        <v>0</v>
      </c>
      <c r="K113" s="11">
        <v>1</v>
      </c>
      <c r="L113" s="11">
        <v>6</v>
      </c>
      <c r="M113" s="12">
        <v>24</v>
      </c>
      <c r="N113" s="1">
        <v>0</v>
      </c>
      <c r="O113">
        <v>9</v>
      </c>
      <c r="P113">
        <v>8</v>
      </c>
    </row>
    <row r="114" spans="1:16" x14ac:dyDescent="0.25">
      <c r="A114" s="9">
        <v>10114</v>
      </c>
      <c r="B114" s="9" t="s">
        <v>562</v>
      </c>
      <c r="C114" s="10">
        <v>2</v>
      </c>
      <c r="D114" s="9">
        <v>2</v>
      </c>
      <c r="E114" s="11" t="s">
        <v>517</v>
      </c>
      <c r="F114" s="9">
        <v>18</v>
      </c>
      <c r="G114" s="9">
        <v>66</v>
      </c>
      <c r="H114" s="9">
        <v>17</v>
      </c>
      <c r="I114" s="9">
        <v>32</v>
      </c>
      <c r="J114" s="11">
        <v>0</v>
      </c>
      <c r="K114" s="11">
        <v>15</v>
      </c>
      <c r="L114" s="11">
        <v>11</v>
      </c>
      <c r="M114" s="12">
        <v>28</v>
      </c>
      <c r="N114" s="1">
        <v>0</v>
      </c>
      <c r="O114">
        <v>14</v>
      </c>
      <c r="P114">
        <v>10</v>
      </c>
    </row>
    <row r="115" spans="1:16" x14ac:dyDescent="0.25">
      <c r="A115" s="9">
        <v>10115</v>
      </c>
      <c r="B115" s="9" t="s">
        <v>561</v>
      </c>
      <c r="C115" s="10">
        <v>3</v>
      </c>
      <c r="D115" s="9">
        <v>3</v>
      </c>
      <c r="E115" s="11" t="s">
        <v>515</v>
      </c>
      <c r="F115" s="9">
        <v>16</v>
      </c>
      <c r="G115" s="9">
        <v>60.5</v>
      </c>
      <c r="H115" s="9">
        <v>16</v>
      </c>
      <c r="I115" s="9">
        <v>130</v>
      </c>
      <c r="J115" s="11">
        <v>29</v>
      </c>
      <c r="K115" s="11">
        <v>1</v>
      </c>
      <c r="L115" s="11">
        <v>5</v>
      </c>
      <c r="M115" s="12">
        <v>27</v>
      </c>
      <c r="N115" s="1">
        <v>10</v>
      </c>
      <c r="O115">
        <v>13</v>
      </c>
      <c r="P115">
        <v>15</v>
      </c>
    </row>
    <row r="116" spans="1:16" x14ac:dyDescent="0.25">
      <c r="A116" s="9">
        <v>10116</v>
      </c>
      <c r="B116" s="9" t="s">
        <v>561</v>
      </c>
      <c r="C116" s="10">
        <v>1</v>
      </c>
      <c r="D116" s="9">
        <v>1</v>
      </c>
      <c r="E116" s="11" t="s">
        <v>517</v>
      </c>
      <c r="F116" s="9">
        <v>13</v>
      </c>
      <c r="G116" s="9">
        <v>32.5</v>
      </c>
      <c r="H116" s="9">
        <v>16</v>
      </c>
      <c r="I116" s="9">
        <v>51</v>
      </c>
      <c r="J116" s="11">
        <v>6</v>
      </c>
      <c r="K116" s="11">
        <v>8</v>
      </c>
      <c r="L116" s="11">
        <v>19</v>
      </c>
      <c r="M116" s="12">
        <v>28</v>
      </c>
      <c r="N116" s="1">
        <v>12</v>
      </c>
      <c r="O116">
        <v>16</v>
      </c>
      <c r="P116">
        <v>25</v>
      </c>
    </row>
    <row r="117" spans="1:16" x14ac:dyDescent="0.25">
      <c r="A117" s="9">
        <v>10117</v>
      </c>
      <c r="B117" s="9" t="s">
        <v>561</v>
      </c>
      <c r="C117" s="10">
        <v>1</v>
      </c>
      <c r="D117" s="9">
        <v>1</v>
      </c>
      <c r="E117" s="11" t="s">
        <v>550</v>
      </c>
      <c r="F117" s="9">
        <v>16</v>
      </c>
      <c r="G117" s="9">
        <v>66</v>
      </c>
      <c r="H117" s="9">
        <v>17</v>
      </c>
      <c r="I117" s="9">
        <v>119</v>
      </c>
      <c r="J117" s="11">
        <v>15</v>
      </c>
      <c r="K117" s="11">
        <v>5</v>
      </c>
      <c r="L117" s="11">
        <v>10</v>
      </c>
      <c r="M117" s="12">
        <v>39</v>
      </c>
      <c r="N117" s="1">
        <v>28</v>
      </c>
      <c r="O117">
        <v>20</v>
      </c>
      <c r="P117">
        <v>30</v>
      </c>
    </row>
    <row r="118" spans="1:16" x14ac:dyDescent="0.25">
      <c r="A118" s="9">
        <v>10118</v>
      </c>
      <c r="B118" s="9" t="s">
        <v>561</v>
      </c>
      <c r="C118" s="10">
        <v>2</v>
      </c>
      <c r="D118" s="9">
        <v>2</v>
      </c>
      <c r="E118" s="11" t="s">
        <v>517</v>
      </c>
      <c r="F118" s="9">
        <v>16</v>
      </c>
      <c r="G118" s="9">
        <v>52</v>
      </c>
      <c r="H118" s="9">
        <v>17</v>
      </c>
      <c r="I118" s="9">
        <v>68</v>
      </c>
      <c r="J118" s="11">
        <v>6</v>
      </c>
      <c r="K118" s="11">
        <v>4</v>
      </c>
      <c r="L118" s="11">
        <v>9</v>
      </c>
      <c r="M118" s="12">
        <v>32</v>
      </c>
      <c r="N118" s="1">
        <v>12</v>
      </c>
      <c r="O118">
        <v>22</v>
      </c>
      <c r="P118">
        <v>40</v>
      </c>
    </row>
    <row r="119" spans="1:16" x14ac:dyDescent="0.25">
      <c r="A119" s="9">
        <v>10119</v>
      </c>
      <c r="B119" s="9" t="s">
        <v>562</v>
      </c>
      <c r="C119" s="10">
        <v>1</v>
      </c>
      <c r="D119" s="9">
        <v>1</v>
      </c>
      <c r="E119" s="11" t="s">
        <v>517</v>
      </c>
      <c r="F119" s="9">
        <v>14</v>
      </c>
      <c r="G119" s="9">
        <v>51.5</v>
      </c>
      <c r="H119" s="9">
        <v>18</v>
      </c>
      <c r="I119" s="9">
        <v>302</v>
      </c>
      <c r="J119" s="11">
        <v>61</v>
      </c>
      <c r="K119" s="11">
        <v>8</v>
      </c>
      <c r="L119" s="11">
        <v>7</v>
      </c>
      <c r="M119" s="12">
        <v>46</v>
      </c>
      <c r="N119" s="1">
        <v>25</v>
      </c>
      <c r="O119">
        <v>27</v>
      </c>
      <c r="P119">
        <v>65</v>
      </c>
    </row>
    <row r="120" spans="1:16" x14ac:dyDescent="0.25">
      <c r="A120" s="9">
        <v>10120</v>
      </c>
      <c r="B120" s="9" t="s">
        <v>562</v>
      </c>
      <c r="C120" s="10">
        <v>2</v>
      </c>
      <c r="D120" s="9">
        <v>2</v>
      </c>
      <c r="E120" s="11" t="s">
        <v>515</v>
      </c>
      <c r="F120" s="9">
        <v>18</v>
      </c>
      <c r="G120" s="9">
        <v>66</v>
      </c>
      <c r="H120" s="9">
        <v>16</v>
      </c>
      <c r="I120" s="9">
        <v>72</v>
      </c>
      <c r="J120" s="11">
        <v>8</v>
      </c>
      <c r="K120" s="11">
        <v>15</v>
      </c>
      <c r="L120" s="11">
        <v>19</v>
      </c>
      <c r="M120" s="12">
        <v>25</v>
      </c>
      <c r="N120" s="1">
        <v>0</v>
      </c>
      <c r="O120">
        <v>11</v>
      </c>
      <c r="P120">
        <v>10</v>
      </c>
    </row>
    <row r="121" spans="1:16" x14ac:dyDescent="0.25">
      <c r="A121" s="9">
        <v>10121</v>
      </c>
      <c r="B121" s="9" t="s">
        <v>561</v>
      </c>
      <c r="C121" s="10">
        <v>2</v>
      </c>
      <c r="D121" s="9">
        <v>2</v>
      </c>
      <c r="E121" s="11" t="s">
        <v>551</v>
      </c>
      <c r="F121" s="9">
        <v>18</v>
      </c>
      <c r="G121" s="9">
        <v>66</v>
      </c>
      <c r="H121" s="9">
        <v>16</v>
      </c>
      <c r="I121" s="9">
        <v>146</v>
      </c>
      <c r="J121" s="11">
        <v>24</v>
      </c>
      <c r="K121" s="11">
        <v>16</v>
      </c>
      <c r="L121" s="11">
        <v>17</v>
      </c>
      <c r="M121" s="12">
        <v>33</v>
      </c>
      <c r="N121" s="1">
        <v>13</v>
      </c>
      <c r="O121">
        <v>11</v>
      </c>
      <c r="P121">
        <v>9</v>
      </c>
    </row>
    <row r="122" spans="1:16" x14ac:dyDescent="0.25">
      <c r="A122" s="9">
        <v>10122</v>
      </c>
      <c r="B122" s="9" t="s">
        <v>562</v>
      </c>
      <c r="C122" s="10">
        <v>1</v>
      </c>
      <c r="D122" s="9">
        <v>1</v>
      </c>
      <c r="E122" s="11" t="s">
        <v>552</v>
      </c>
      <c r="F122" s="9">
        <v>18</v>
      </c>
      <c r="G122" s="9">
        <v>58.5</v>
      </c>
      <c r="H122" s="9">
        <v>16</v>
      </c>
      <c r="I122" s="9">
        <v>61</v>
      </c>
      <c r="J122" s="11">
        <v>0</v>
      </c>
      <c r="K122" s="11">
        <v>11</v>
      </c>
      <c r="L122" s="11">
        <v>14</v>
      </c>
      <c r="M122" s="12">
        <v>45</v>
      </c>
      <c r="N122" s="1">
        <v>55</v>
      </c>
      <c r="O122">
        <v>13</v>
      </c>
      <c r="P122">
        <v>13</v>
      </c>
    </row>
    <row r="123" spans="1:16" x14ac:dyDescent="0.25">
      <c r="A123">
        <v>10123</v>
      </c>
      <c r="B123" t="s">
        <v>561</v>
      </c>
      <c r="C123">
        <v>2</v>
      </c>
      <c r="D123">
        <v>2</v>
      </c>
      <c r="E123" t="s">
        <v>517</v>
      </c>
      <c r="F123">
        <v>16</v>
      </c>
      <c r="G123">
        <v>63.5</v>
      </c>
      <c r="H123">
        <v>17</v>
      </c>
      <c r="I123">
        <v>55</v>
      </c>
      <c r="J123">
        <v>0</v>
      </c>
      <c r="K123">
        <v>3</v>
      </c>
      <c r="L123">
        <v>8</v>
      </c>
      <c r="M123">
        <v>39</v>
      </c>
      <c r="N123">
        <v>28</v>
      </c>
      <c r="O123">
        <v>18</v>
      </c>
      <c r="P123">
        <v>25</v>
      </c>
    </row>
    <row r="124" spans="1:16" x14ac:dyDescent="0.25">
      <c r="A124">
        <v>122</v>
      </c>
      <c r="B124">
        <v>122</v>
      </c>
      <c r="C124">
        <v>122</v>
      </c>
      <c r="D124">
        <v>121</v>
      </c>
      <c r="E124">
        <v>122</v>
      </c>
      <c r="F124">
        <v>122</v>
      </c>
      <c r="G124">
        <v>108</v>
      </c>
      <c r="H124">
        <v>122</v>
      </c>
      <c r="I124">
        <v>120</v>
      </c>
      <c r="J124">
        <v>120</v>
      </c>
      <c r="K124">
        <v>120</v>
      </c>
      <c r="L124">
        <v>120</v>
      </c>
      <c r="M124">
        <v>120</v>
      </c>
      <c r="N124">
        <v>120</v>
      </c>
      <c r="O124">
        <v>120</v>
      </c>
      <c r="P12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 Ph.D.</dc:creator>
  <cp:lastModifiedBy>Virginia A. Marchman</cp:lastModifiedBy>
  <dcterms:created xsi:type="dcterms:W3CDTF">2023-10-13T20:13:56Z</dcterms:created>
  <dcterms:modified xsi:type="dcterms:W3CDTF">2024-09-17T21:18:22Z</dcterms:modified>
</cp:coreProperties>
</file>